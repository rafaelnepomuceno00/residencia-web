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BB94022-B072-40A9-9678-C4913F2A7766}" xr6:coauthVersionLast="36" xr6:coauthVersionMax="36" xr10:uidLastSave="{00000000-0000-0000-0000-000000000000}"/>
  <bookViews>
    <workbookView xWindow="0" yWindow="0" windowWidth="16380" windowHeight="8196" tabRatio="500" activeTab="2" xr2:uid="{00000000-000D-0000-FFFF-FFFF00000000}"/>
  </bookViews>
  <sheets>
    <sheet name="📊 Visão Geral" sheetId="1" r:id="rId1"/>
    <sheet name="📅 Planejamento Semanal" sheetId="2" r:id="rId2"/>
    <sheet name="❓ Controle de Questões" sheetId="3" r:id="rId3"/>
    <sheet name="🔄 Revisão Espaçada" sheetId="4" r:id="rId4"/>
    <sheet name="❌ Caderno de Erros" sheetId="5" r:id="rId5"/>
    <sheet name="📈 Desempenho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0" i="2" l="1"/>
  <c r="I22" i="2"/>
  <c r="I23" i="2"/>
  <c r="I24" i="2"/>
  <c r="C9" i="6"/>
  <c r="B9" i="6"/>
  <c r="D9" i="6" s="1"/>
  <c r="D8" i="6"/>
  <c r="F8" i="6" s="1"/>
  <c r="D7" i="6"/>
  <c r="F7" i="6" s="1"/>
  <c r="D6" i="6"/>
  <c r="F6" i="6" s="1"/>
  <c r="D5" i="6"/>
  <c r="F5" i="6" s="1"/>
  <c r="D4" i="6"/>
  <c r="F4" i="6" s="1"/>
  <c r="H9" i="4"/>
  <c r="F9" i="4"/>
  <c r="D9" i="4"/>
  <c r="H8" i="4"/>
  <c r="F8" i="4"/>
  <c r="D8" i="4"/>
  <c r="H7" i="4"/>
  <c r="F7" i="4"/>
  <c r="D7" i="4"/>
  <c r="H6" i="4"/>
  <c r="F6" i="4"/>
  <c r="D6" i="4"/>
  <c r="H5" i="4"/>
  <c r="F5" i="4"/>
  <c r="D5" i="4"/>
  <c r="H4" i="4"/>
  <c r="F4" i="4"/>
  <c r="D4" i="4"/>
  <c r="F10" i="3"/>
  <c r="F9" i="3"/>
  <c r="F8" i="3"/>
  <c r="F7" i="3"/>
  <c r="F6" i="3"/>
  <c r="F5" i="3"/>
  <c r="F4" i="3"/>
  <c r="F3" i="3"/>
  <c r="I21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D24" i="1"/>
  <c r="D22" i="1"/>
  <c r="D21" i="1"/>
  <c r="D20" i="1"/>
</calcChain>
</file>

<file path=xl/sharedStrings.xml><?xml version="1.0" encoding="utf-8"?>
<sst xmlns="http://schemas.openxmlformats.org/spreadsheetml/2006/main" count="443" uniqueCount="213">
  <si>
    <t>🏥  PLANILHA DE ESTUDOS — RESIDÊNCIA MÉDICA</t>
  </si>
  <si>
    <t>Modelo inspirado no FluidMed  |  Revisão Espaçada + Alta Produtividade</t>
  </si>
  <si>
    <t>📅  CALENDÁRIO SEMANAL</t>
  </si>
  <si>
    <t>📋  SEMANA Nº</t>
  </si>
  <si>
    <t>SEG</t>
  </si>
  <si>
    <t>TER</t>
  </si>
  <si>
    <t>QUA</t>
  </si>
  <si>
    <t>QUI</t>
  </si>
  <si>
    <t>SEX</t>
  </si>
  <si>
    <t>SÁB</t>
  </si>
  <si>
    <t>DOM</t>
  </si>
  <si>
    <t>Semana Atual:</t>
  </si>
  <si>
    <t>🌅 Manhã (07–12h)</t>
  </si>
  <si>
    <t>3h teoria</t>
  </si>
  <si>
    <t>Data Início:</t>
  </si>
  <si>
    <t>☀️ Tarde (14–18h)</t>
  </si>
  <si>
    <t>2h questões</t>
  </si>
  <si>
    <t>🌙 Noite (19–21h)</t>
  </si>
  <si>
    <t>1h flashcards</t>
  </si>
  <si>
    <t>—</t>
  </si>
  <si>
    <t>🎯  DISTRIBUIÇÃO SEMANAL POR ÁREA</t>
  </si>
  <si>
    <t>💡 DICA FluidMed
📌 Estude em blocos de 50min + 10min pausa
📌 Faça questões TODOS os dias (mín. 20)
📌 Revise erros antes de novo conteúdo
📌 Use a aba Revisão Espaçada para D1, D7, D30
📌 Registre % de acerto por tema semanalmente</t>
  </si>
  <si>
    <t>Disciplina</t>
  </si>
  <si>
    <t>Horas/Semana</t>
  </si>
  <si>
    <t>% do Tempo</t>
  </si>
  <si>
    <t>Foco Principal</t>
  </si>
  <si>
    <t>Meta Questões</t>
  </si>
  <si>
    <t>Clínica Médica</t>
  </si>
  <si>
    <t>40%</t>
  </si>
  <si>
    <t>Cardio, Pneumo, Nefro, Endo</t>
  </si>
  <si>
    <t>Cirurgia</t>
  </si>
  <si>
    <t>20%</t>
  </si>
  <si>
    <t>Trauma, Abdome, Ortopedia</t>
  </si>
  <si>
    <t>Pediatria</t>
  </si>
  <si>
    <t>17%</t>
  </si>
  <si>
    <t>Neonato, Crescimento, Infecto</t>
  </si>
  <si>
    <t>Ginecologia/Obstetrícia</t>
  </si>
  <si>
    <t>13%</t>
  </si>
  <si>
    <t>Pré-natal, Gineco benigna</t>
  </si>
  <si>
    <t>Medicina Preventiva</t>
  </si>
  <si>
    <t>10%</t>
  </si>
  <si>
    <t>Epidemio, Bioestat, SUS</t>
  </si>
  <si>
    <t>🎯  METAS DA SEMANA</t>
  </si>
  <si>
    <t>Meta</t>
  </si>
  <si>
    <t>Planejado</t>
  </si>
  <si>
    <t>Realizado</t>
  </si>
  <si>
    <t>% Atingida</t>
  </si>
  <si>
    <t>Status</t>
  </si>
  <si>
    <t>⏱️ Horas de Estudo</t>
  </si>
  <si>
    <t>❓ Questões Respondidas</t>
  </si>
  <si>
    <t>✅ Revisões Realizadas</t>
  </si>
  <si>
    <t>📊 % Média de Acertos</t>
  </si>
  <si>
    <t>70%</t>
  </si>
  <si>
    <t>📚 Temas Estudados</t>
  </si>
  <si>
    <t>📅  PLANEJAMENTO SEMANAL — RESIDÊNCIA MÉDICA</t>
  </si>
  <si>
    <t>Organize seu estudo dia a dia | Registre teoria, questões, revisões e flashcards</t>
  </si>
  <si>
    <t>Semana</t>
  </si>
  <si>
    <t>Dia</t>
  </si>
  <si>
    <t>Tema Específico</t>
  </si>
  <si>
    <t>Tipo de Estudo</t>
  </si>
  <si>
    <t>Fonte</t>
  </si>
  <si>
    <t>Tempo Plan. (h)</t>
  </si>
  <si>
    <t>Tempo Real. (h)</t>
  </si>
  <si>
    <t>% Concluído</t>
  </si>
  <si>
    <t>Observações</t>
  </si>
  <si>
    <t>Prioridade</t>
  </si>
  <si>
    <t>Sem 1</t>
  </si>
  <si>
    <t>Segunda</t>
  </si>
  <si>
    <t>Insuficiência Cardíaca — Diagnóstico</t>
  </si>
  <si>
    <t>Teoria</t>
  </si>
  <si>
    <t>Apostila + Videoaula</t>
  </si>
  <si>
    <t>Em andamento</t>
  </si>
  <si>
    <t>Focar em critérios diagnósticos</t>
  </si>
  <si>
    <t>🔴 Alta</t>
  </si>
  <si>
    <t>Indicadores de Saúde — SUS</t>
  </si>
  <si>
    <t>Questões</t>
  </si>
  <si>
    <t>Banco de Questões</t>
  </si>
  <si>
    <t>Revisar portarias</t>
  </si>
  <si>
    <t>🟡 Média</t>
  </si>
  <si>
    <t>Revisão: IC — Flashcards</t>
  </si>
  <si>
    <t>Flashcards</t>
  </si>
  <si>
    <t>Anki</t>
  </si>
  <si>
    <t>Não iniciado</t>
  </si>
  <si>
    <t>Criar cards novos</t>
  </si>
  <si>
    <t>🟢 Baixa</t>
  </si>
  <si>
    <t>Terça</t>
  </si>
  <si>
    <t>Abdome Agudo — Classificação</t>
  </si>
  <si>
    <t>Apostila + Livro</t>
  </si>
  <si>
    <t>Questões — Cardiologia Geral</t>
  </si>
  <si>
    <t>SUS-2023 / ENARE</t>
  </si>
  <si>
    <t>Min. 30 questões</t>
  </si>
  <si>
    <t>Revisão D1 — Abdome Agudo</t>
  </si>
  <si>
    <t>Revisão</t>
  </si>
  <si>
    <t>Anotações Pessoais</t>
  </si>
  <si>
    <t>Quarta</t>
  </si>
  <si>
    <t>Neonatologia — Classificação RN</t>
  </si>
  <si>
    <t>Apostila</t>
  </si>
  <si>
    <t>Pré-natal de baixo risco</t>
  </si>
  <si>
    <t>Videoaula + Protocolo</t>
  </si>
  <si>
    <t>Focar no MS</t>
  </si>
  <si>
    <t>Questões — Neonatologia</t>
  </si>
  <si>
    <t>Quinta</t>
  </si>
  <si>
    <t>Síndrome Coronariana Aguda</t>
  </si>
  <si>
    <t>Apostila + ECG</t>
  </si>
  <si>
    <t>Estudar ECG junto</t>
  </si>
  <si>
    <t>Questões — Saúde Pública</t>
  </si>
  <si>
    <t>Revisão D7 — Trauma Básico</t>
  </si>
  <si>
    <t>Flashcards + Mapas</t>
  </si>
  <si>
    <t>Sexta</t>
  </si>
  <si>
    <t>Trauma — ATLS Básico</t>
  </si>
  <si>
    <t>Apostila ATLS</t>
  </si>
  <si>
    <t>Simulado — Cardiologia</t>
  </si>
  <si>
    <t>Simulado ENARE</t>
  </si>
  <si>
    <t>Corrigir todos os erros</t>
  </si>
  <si>
    <t>Sábado</t>
  </si>
  <si>
    <t>Imunizações — Calendário</t>
  </si>
  <si>
    <t>PNI + Apostila</t>
  </si>
  <si>
    <t>Questões — GO Geral</t>
  </si>
  <si>
    <t>Todas</t>
  </si>
  <si>
    <t>Atualizar caderno de erros</t>
  </si>
  <si>
    <t>Domingo</t>
  </si>
  <si>
    <t>Descanso / Leitura Livre</t>
  </si>
  <si>
    <t>Livre</t>
  </si>
  <si>
    <t>Recarregar energia!</t>
  </si>
  <si>
    <t>❓  CONTROLE DE QUESTÕES</t>
  </si>
  <si>
    <t>Data</t>
  </si>
  <si>
    <t>Tema</t>
  </si>
  <si>
    <t>Qtd. Feitas</t>
  </si>
  <si>
    <t>Acertos</t>
  </si>
  <si>
    <t>% Acerto</t>
  </si>
  <si>
    <t>Banca</t>
  </si>
  <si>
    <t>Dificuldade</t>
  </si>
  <si>
    <t>Comentários sobre Erros</t>
  </si>
  <si>
    <t>Insuficiência Cardíaca</t>
  </si>
  <si>
    <t>ENARE-2024</t>
  </si>
  <si>
    <t>Fácil</t>
  </si>
  <si>
    <t>Confundi estágios de BNP</t>
  </si>
  <si>
    <t>Indicadores de Saúde</t>
  </si>
  <si>
    <t>SUS-2023</t>
  </si>
  <si>
    <t>Média</t>
  </si>
  <si>
    <t>Errei 2 questões sobre IDSUS</t>
  </si>
  <si>
    <t>Abdome Agudo</t>
  </si>
  <si>
    <t>FMUSP-2024</t>
  </si>
  <si>
    <t>Difícil</t>
  </si>
  <si>
    <t>Dificuldade em íleo paralítico</t>
  </si>
  <si>
    <t>Cardiologia Geral</t>
  </si>
  <si>
    <t>SUS-2024</t>
  </si>
  <si>
    <t>Neonatologia</t>
  </si>
  <si>
    <t>Classificação de RN confunde</t>
  </si>
  <si>
    <t>Pré-natal</t>
  </si>
  <si>
    <t>SES-SP-2024</t>
  </si>
  <si>
    <t>Síndrome Coronariana</t>
  </si>
  <si>
    <t>ECG: bloqueios me confundem</t>
  </si>
  <si>
    <t>Trauma ATLS</t>
  </si>
  <si>
    <t>ATLS: sequência primary survey</t>
  </si>
  <si>
    <t>🔄  REVISÃO ESPAÇADA — Sistema D0 • D1 • D7 • D30</t>
  </si>
  <si>
    <t>💡 Baseado na Repetição Espaçada: estude hoje (D0) → revise amanhã (D1) → em 7 dias (D7) → em 30 dias (D30)</t>
  </si>
  <si>
    <t>D0 — Estudo Inicial</t>
  </si>
  <si>
    <t>D1 — Revisão</t>
  </si>
  <si>
    <t>Status D1</t>
  </si>
  <si>
    <t>D7 — Revisão</t>
  </si>
  <si>
    <t>Status D7</t>
  </si>
  <si>
    <t>D30 — Revisão</t>
  </si>
  <si>
    <t>Status D30</t>
  </si>
  <si>
    <t>Pendente</t>
  </si>
  <si>
    <t>Alta</t>
  </si>
  <si>
    <t>Pré-natal Baixo Risco</t>
  </si>
  <si>
    <t>❌  CADERNO DE ERROS — Transforme erros em acertos!</t>
  </si>
  <si>
    <t>Tipo de Erro</t>
  </si>
  <si>
    <t>Banca / Fonte</t>
  </si>
  <si>
    <t>O que Errei</t>
  </si>
  <si>
    <t>Correção / Conceito Correto</t>
  </si>
  <si>
    <t>Revisado?</t>
  </si>
  <si>
    <t>IC</t>
  </si>
  <si>
    <t>Conceito</t>
  </si>
  <si>
    <t>Confundi BNP &gt; 100 com &gt; 35</t>
  </si>
  <si>
    <t>BNP &gt; 100 = IC descompensada; Pro-BNP &gt; 900 em &gt;75a</t>
  </si>
  <si>
    <t>Não</t>
  </si>
  <si>
    <t>IDSUS</t>
  </si>
  <si>
    <t>Memorização</t>
  </si>
  <si>
    <t>Errei componentes do IDSUS</t>
  </si>
  <si>
    <t>IDSUS = acesso + efetividade (14 indicadores)</t>
  </si>
  <si>
    <t>Íleo vs Obstrução</t>
  </si>
  <si>
    <t>Interpretação</t>
  </si>
  <si>
    <t>Confundi achados do RX</t>
  </si>
  <si>
    <t>Íleo: distensão difusa; OI: alças em escada</t>
  </si>
  <si>
    <t>ECG Bloqueios</t>
  </si>
  <si>
    <t>Confundi BCRD com BRE</t>
  </si>
  <si>
    <t>BCRD: RSR em V1; BRE: QRS largo alargado em V6</t>
  </si>
  <si>
    <t>ATLS Primary</t>
  </si>
  <si>
    <t>Inverti B e C do ABCDE</t>
  </si>
  <si>
    <t>A=via aérea; B=ventilação; C=circulação; D=neuro</t>
  </si>
  <si>
    <t>📈  DESEMPENHO POR DISCIPLINA</t>
  </si>
  <si>
    <t>Acompanhe seu desempenho por área e identifique onde focar mais esforço</t>
  </si>
  <si>
    <t>Total de Questões</t>
  </si>
  <si>
    <t>Total de Acertos</t>
  </si>
  <si>
    <t>% Média de Acertos</t>
  </si>
  <si>
    <t>Meta (%)</t>
  </si>
  <si>
    <t>Tendência</t>
  </si>
  <si>
    <t>Cor</t>
  </si>
  <si>
    <t>→</t>
  </si>
  <si>
    <t>█</t>
  </si>
  <si>
    <t>TOTAL GERAL</t>
  </si>
  <si>
    <t>Sem 2</t>
  </si>
  <si>
    <t>Segunda-feira</t>
  </si>
  <si>
    <t>Sem 3</t>
  </si>
  <si>
    <t>Terça-feira</t>
  </si>
  <si>
    <t>Sem 4</t>
  </si>
  <si>
    <t>Quarta-feira</t>
  </si>
  <si>
    <t>Sem 11</t>
  </si>
  <si>
    <t>Dermatites</t>
  </si>
  <si>
    <t>Medcurso</t>
  </si>
  <si>
    <t>Concluído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</si>
</sst>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7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1"/>
      <color rgb="FFB0B8CC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2C2C2C"/>
      <name val="Arial"/>
      <charset val="1"/>
    </font>
    <font>
      <b/>
      <sz val="18"/>
      <color rgb="FF0F3460"/>
      <name val="Arial"/>
      <charset val="1"/>
    </font>
    <font>
      <b/>
      <sz val="9"/>
      <color rgb="FF2C2C2C"/>
      <name val="Arial"/>
      <charset val="1"/>
    </font>
    <font>
      <i/>
      <sz val="9"/>
      <color rgb="FF666666"/>
      <name val="Arial"/>
      <charset val="1"/>
    </font>
    <font>
      <sz val="11"/>
      <color rgb="FF2C2C2C"/>
      <name val="Arial"/>
      <charset val="1"/>
    </font>
    <font>
      <sz val="10"/>
      <color rgb="FF1A1A2E"/>
      <name val="Arial"/>
      <charset val="1"/>
    </font>
    <font>
      <b/>
      <sz val="10"/>
      <color rgb="FFFFFFFF"/>
      <name val="Arial"/>
      <charset val="1"/>
    </font>
    <font>
      <sz val="10"/>
      <color rgb="FF2C2C2C"/>
      <name val="Arial"/>
      <charset val="1"/>
    </font>
    <font>
      <sz val="9"/>
      <color rgb="FF555555"/>
      <name val="Arial"/>
      <charset val="1"/>
    </font>
    <font>
      <b/>
      <sz val="10"/>
      <color rgb="FF0F3460"/>
      <name val="Arial"/>
      <charset val="1"/>
    </font>
    <font>
      <i/>
      <sz val="10"/>
      <color rgb="FF888888"/>
      <name val="Arial"/>
      <charset val="1"/>
    </font>
    <font>
      <b/>
      <sz val="18"/>
      <color rgb="FFFFFFFF"/>
      <name val="Arial"/>
      <charset val="1"/>
    </font>
    <font>
      <b/>
      <sz val="9"/>
      <color rgb="FF555555"/>
      <name val="Arial"/>
      <charset val="1"/>
    </font>
    <font>
      <sz val="9"/>
      <color rgb="FF2C2C2C"/>
      <name val="Arial"/>
      <charset val="1"/>
    </font>
    <font>
      <b/>
      <sz val="9"/>
      <color rgb="FF4A90D9"/>
      <name val="Arial"/>
      <charset val="1"/>
    </font>
    <font>
      <i/>
      <sz val="9"/>
      <color rgb="FF555555"/>
      <name val="Arial"/>
      <charset val="1"/>
    </font>
    <font>
      <b/>
      <sz val="9"/>
      <color rgb="FF0F3460"/>
      <name val="Arial"/>
      <charset val="1"/>
    </font>
    <font>
      <b/>
      <sz val="9"/>
      <color rgb="FFCA8A04"/>
      <name val="Arial"/>
      <charset val="1"/>
    </font>
    <font>
      <i/>
      <sz val="8"/>
      <color rgb="FF666666"/>
      <name val="Arial"/>
      <charset val="1"/>
    </font>
    <font>
      <b/>
      <sz val="9"/>
      <color rgb="FF9B59B6"/>
      <name val="Arial"/>
      <charset val="1"/>
    </font>
    <font>
      <b/>
      <sz val="9"/>
      <color rgb="FFE74C3C"/>
      <name val="Arial"/>
      <charset val="1"/>
    </font>
    <font>
      <b/>
      <sz val="9"/>
      <color rgb="FF999999"/>
      <name val="Arial"/>
      <charset val="1"/>
    </font>
    <font>
      <b/>
      <sz val="9"/>
      <color rgb="FF27AE60"/>
      <name val="Arial"/>
      <charset val="1"/>
    </font>
    <font>
      <b/>
      <sz val="9"/>
      <color rgb="FFE67E22"/>
      <name val="Arial"/>
      <charset val="1"/>
    </font>
    <font>
      <b/>
      <sz val="9"/>
      <color rgb="FF888888"/>
      <name val="Arial"/>
      <charset val="1"/>
    </font>
    <font>
      <b/>
      <sz val="9"/>
      <color rgb="FFF39C12"/>
      <name val="Arial"/>
      <charset val="1"/>
    </font>
    <font>
      <i/>
      <sz val="10"/>
      <color rgb="FF555555"/>
      <name val="Arial"/>
      <charset val="1"/>
    </font>
    <font>
      <sz val="10"/>
      <color rgb="FF0F3460"/>
      <name val="Arial"/>
      <charset val="1"/>
    </font>
    <font>
      <sz val="9"/>
      <color rgb="FFF39C12"/>
      <name val="Arial"/>
      <charset val="1"/>
    </font>
    <font>
      <sz val="9"/>
      <color rgb="FFE74C3C"/>
      <name val="Arial"/>
      <charset val="1"/>
    </font>
    <font>
      <sz val="9"/>
      <color rgb="FF27AE60"/>
      <name val="Arial"/>
      <charset val="1"/>
    </font>
    <font>
      <i/>
      <sz val="8"/>
      <color rgb="FF993333"/>
      <name val="Arial"/>
      <charset val="1"/>
    </font>
    <font>
      <sz val="8"/>
      <color rgb="FF1A7A40"/>
      <name val="Arial"/>
      <charset val="1"/>
    </font>
    <font>
      <b/>
      <sz val="11"/>
      <color rgb="FF0F3460"/>
      <name val="Arial"/>
      <charset val="1"/>
    </font>
    <font>
      <b/>
      <sz val="10"/>
      <color rgb="FF555555"/>
      <name val="Arial"/>
      <charset val="1"/>
    </font>
    <font>
      <sz val="14"/>
      <color rgb="FF4A90D9"/>
      <name val="Arial"/>
      <charset val="1"/>
    </font>
    <font>
      <sz val="10"/>
      <color rgb="FF4A90D9"/>
      <name val="Arial"/>
      <charset val="1"/>
    </font>
    <font>
      <sz val="10"/>
      <color rgb="FFE74C3C"/>
      <name val="Arial"/>
      <charset val="1"/>
    </font>
    <font>
      <sz val="10"/>
      <color rgb="FF27AE60"/>
      <name val="Arial"/>
      <charset val="1"/>
    </font>
    <font>
      <sz val="10"/>
      <color rgb="FFE67E22"/>
      <name val="Arial"/>
      <charset val="1"/>
    </font>
    <font>
      <sz val="10"/>
      <color rgb="FF9B59B6"/>
      <name val="Arial"/>
      <charset val="1"/>
    </font>
    <font>
      <b/>
      <sz val="13"/>
      <color rgb="FF0F3460"/>
      <name val="Arial"/>
      <charset val="1"/>
    </font>
  </fonts>
  <fills count="29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4A90D9"/>
        <bgColor rgb="FF5BA3D9"/>
      </patternFill>
    </fill>
    <fill>
      <patternFill patternType="solid">
        <fgColor rgb="FF5BA3D9"/>
        <bgColor rgb="FF6DB5D9"/>
      </patternFill>
    </fill>
    <fill>
      <patternFill patternType="solid">
        <fgColor rgb="FF6DB5D9"/>
        <bgColor rgb="FF7EC7D9"/>
      </patternFill>
    </fill>
    <fill>
      <patternFill patternType="solid">
        <fgColor rgb="FF7EC7D9"/>
        <bgColor rgb="FF6DB5D9"/>
      </patternFill>
    </fill>
    <fill>
      <patternFill patternType="solid">
        <fgColor rgb="FF27AE60"/>
        <bgColor rgb="FF1A7A40"/>
      </patternFill>
    </fill>
    <fill>
      <patternFill patternType="solid">
        <fgColor rgb="FF9B59B6"/>
        <bgColor rgb="FF878787"/>
      </patternFill>
    </fill>
    <fill>
      <patternFill patternType="solid">
        <fgColor rgb="FFE74C3C"/>
        <bgColor rgb="FFE67E22"/>
      </patternFill>
    </fill>
    <fill>
      <patternFill patternType="solid">
        <fgColor rgb="FFF0F4FF"/>
        <bgColor rgb="FFEFF6FF"/>
      </patternFill>
    </fill>
    <fill>
      <patternFill patternType="solid">
        <fgColor rgb="FFEFF6FF"/>
        <bgColor rgb="FFEFF8FF"/>
      </patternFill>
    </fill>
    <fill>
      <patternFill patternType="solid">
        <fgColor rgb="FFFAFBFF"/>
        <bgColor rgb="FFF9F9F9"/>
      </patternFill>
    </fill>
    <fill>
      <patternFill patternType="solid">
        <fgColor rgb="FFFFFFF0"/>
        <bgColor rgb="FFFFFFFF"/>
      </patternFill>
    </fill>
    <fill>
      <patternFill patternType="solid">
        <fgColor rgb="FFFEF3C7"/>
        <bgColor rgb="FFFFF8E1"/>
      </patternFill>
    </fill>
    <fill>
      <patternFill patternType="solid">
        <fgColor rgb="FFEFF8FF"/>
        <bgColor rgb="FFEFF6FF"/>
      </patternFill>
    </fill>
    <fill>
      <patternFill patternType="solid">
        <fgColor rgb="FFFFF8E1"/>
        <bgColor rgb="FFFEF9E7"/>
      </patternFill>
    </fill>
    <fill>
      <patternFill patternType="solid">
        <fgColor rgb="FFE67E22"/>
        <bgColor rgb="FFCA8A04"/>
      </patternFill>
    </fill>
    <fill>
      <patternFill patternType="solid">
        <fgColor rgb="FFFFFFFF"/>
        <bgColor rgb="FFF8FFFE"/>
      </patternFill>
    </fill>
    <fill>
      <patternFill patternType="solid">
        <fgColor rgb="FFF5F5F5"/>
        <bgColor rgb="FFF9F9F9"/>
      </patternFill>
    </fill>
    <fill>
      <patternFill patternType="solid">
        <fgColor rgb="FFF8FFFE"/>
        <bgColor rgb="FFFAFBFF"/>
      </patternFill>
    </fill>
    <fill>
      <patternFill patternType="solid">
        <fgColor rgb="FFFEF9E7"/>
        <bgColor rgb="FFFFF8E1"/>
      </patternFill>
    </fill>
    <fill>
      <patternFill patternType="solid">
        <fgColor rgb="FFF5F0FF"/>
        <bgColor rgb="FFF0F4FF"/>
      </patternFill>
    </fill>
    <fill>
      <patternFill patternType="solid">
        <fgColor rgb="FFFEF2F2"/>
        <bgColor rgb="FFFEF3E6"/>
      </patternFill>
    </fill>
    <fill>
      <patternFill patternType="solid">
        <fgColor rgb="FFF9F9F9"/>
        <bgColor rgb="FFFAFBFF"/>
      </patternFill>
    </fill>
    <fill>
      <patternFill patternType="solid">
        <fgColor rgb="FFF0FFF4"/>
        <bgColor rgb="FFF8FFFE"/>
      </patternFill>
    </fill>
    <fill>
      <patternFill patternType="solid">
        <fgColor rgb="FFFEF3E6"/>
        <bgColor rgb="FFFEF2F2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999999"/>
      </left>
      <right/>
      <top style="medium">
        <color rgb="FF999999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6" fillId="11" borderId="0" xfId="0" applyFont="1" applyFill="1" applyBorder="1" applyAlignment="1">
      <alignment horizontal="center" vertical="center"/>
    </xf>
    <xf numFmtId="0" fontId="31" fillId="18" borderId="0" xfId="0" applyFont="1" applyFill="1" applyBorder="1" applyAlignment="1">
      <alignment horizontal="center" vertical="center"/>
    </xf>
    <xf numFmtId="0" fontId="15" fillId="21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0" fillId="18" borderId="3" xfId="0" applyFont="1" applyFill="1" applyBorder="1" applyAlignment="1">
      <alignment horizontal="left" vertical="top" wrapText="1"/>
    </xf>
    <xf numFmtId="14" fontId="9" fillId="15" borderId="2" xfId="0" applyNumberFormat="1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right" vertical="center"/>
    </xf>
    <xf numFmtId="0" fontId="7" fillId="14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1" fillId="19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12" fillId="15" borderId="1" xfId="0" applyFont="1" applyFill="1" applyBorder="1" applyAlignment="1">
      <alignment horizontal="center" vertical="center"/>
    </xf>
    <xf numFmtId="9" fontId="14" fillId="12" borderId="1" xfId="0" applyNumberFormat="1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left" vertical="center"/>
    </xf>
    <xf numFmtId="0" fontId="12" fillId="20" borderId="1" xfId="0" applyFont="1" applyFill="1" applyBorder="1" applyAlignment="1">
      <alignment horizontal="center" vertical="center"/>
    </xf>
    <xf numFmtId="9" fontId="14" fillId="20" borderId="1" xfId="0" applyNumberFormat="1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7" fillId="22" borderId="1" xfId="0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left" vertical="center"/>
    </xf>
    <xf numFmtId="0" fontId="18" fillId="22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center" vertical="center"/>
    </xf>
    <xf numFmtId="0" fontId="20" fillId="22" borderId="1" xfId="0" applyFont="1" applyFill="1" applyBorder="1" applyAlignment="1">
      <alignment horizontal="left" vertical="center"/>
    </xf>
    <xf numFmtId="164" fontId="18" fillId="22" borderId="1" xfId="0" applyNumberFormat="1" applyFont="1" applyFill="1" applyBorder="1" applyAlignment="1">
      <alignment horizontal="center" vertical="center"/>
    </xf>
    <xf numFmtId="164" fontId="18" fillId="15" borderId="1" xfId="0" applyNumberFormat="1" applyFont="1" applyFill="1" applyBorder="1" applyAlignment="1">
      <alignment horizontal="center" vertical="center"/>
    </xf>
    <xf numFmtId="9" fontId="21" fillId="22" borderId="1" xfId="0" applyNumberFormat="1" applyFont="1" applyFill="1" applyBorder="1" applyAlignment="1">
      <alignment horizontal="center" vertical="center"/>
    </xf>
    <xf numFmtId="0" fontId="22" fillId="23" borderId="1" xfId="0" applyFont="1" applyFill="1" applyBorder="1" applyAlignment="1">
      <alignment horizontal="center" vertical="center"/>
    </xf>
    <xf numFmtId="0" fontId="23" fillId="22" borderId="1" xfId="0" applyFont="1" applyFill="1" applyBorder="1" applyAlignment="1">
      <alignment horizontal="left" vertical="center" wrapText="1"/>
    </xf>
    <xf numFmtId="0" fontId="17" fillId="20" borderId="1" xfId="0" applyFont="1" applyFill="1" applyBorder="1" applyAlignment="1">
      <alignment horizontal="center" vertical="center"/>
    </xf>
    <xf numFmtId="0" fontId="18" fillId="20" borderId="1" xfId="0" applyFont="1" applyFill="1" applyBorder="1" applyAlignment="1">
      <alignment horizontal="center" vertical="center"/>
    </xf>
    <xf numFmtId="0" fontId="24" fillId="24" borderId="1" xfId="0" applyFont="1" applyFill="1" applyBorder="1" applyAlignment="1">
      <alignment horizontal="left" vertical="center"/>
    </xf>
    <xf numFmtId="0" fontId="18" fillId="20" borderId="1" xfId="0" applyFont="1" applyFill="1" applyBorder="1" applyAlignment="1">
      <alignment horizontal="left" vertical="center" wrapText="1"/>
    </xf>
    <xf numFmtId="0" fontId="25" fillId="25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left" vertical="center"/>
    </xf>
    <xf numFmtId="164" fontId="18" fillId="20" borderId="1" xfId="0" applyNumberFormat="1" applyFont="1" applyFill="1" applyBorder="1" applyAlignment="1">
      <alignment horizontal="center" vertical="center"/>
    </xf>
    <xf numFmtId="9" fontId="21" fillId="20" borderId="1" xfId="0" applyNumberFormat="1" applyFont="1" applyFill="1" applyBorder="1" applyAlignment="1">
      <alignment horizontal="center" vertical="center"/>
    </xf>
    <xf numFmtId="0" fontId="23" fillId="20" borderId="1" xfId="0" applyFont="1" applyFill="1" applyBorder="1" applyAlignment="1">
      <alignment horizontal="left" vertical="center" wrapText="1"/>
    </xf>
    <xf numFmtId="0" fontId="24" fillId="24" borderId="1" xfId="0" applyFont="1" applyFill="1" applyBorder="1" applyAlignment="1">
      <alignment horizontal="center" vertical="center"/>
    </xf>
    <xf numFmtId="0" fontId="26" fillId="26" borderId="1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left" vertical="center"/>
    </xf>
    <xf numFmtId="0" fontId="27" fillId="27" borderId="1" xfId="0" applyFont="1" applyFill="1" applyBorder="1" applyAlignment="1">
      <alignment horizontal="center" vertical="center"/>
    </xf>
    <xf numFmtId="0" fontId="27" fillId="27" borderId="1" xfId="0" applyFont="1" applyFill="1" applyBorder="1" applyAlignment="1">
      <alignment horizontal="left" vertical="center"/>
    </xf>
    <xf numFmtId="0" fontId="28" fillId="28" borderId="1" xfId="0" applyFont="1" applyFill="1" applyBorder="1" applyAlignment="1">
      <alignment horizontal="left" vertical="center"/>
    </xf>
    <xf numFmtId="0" fontId="29" fillId="26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left" vertical="center"/>
    </xf>
    <xf numFmtId="165" fontId="5" fillId="12" borderId="1" xfId="0" applyNumberFormat="1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left" vertical="center" wrapText="1"/>
    </xf>
    <xf numFmtId="14" fontId="12" fillId="20" borderId="1" xfId="0" applyNumberFormat="1" applyFont="1" applyFill="1" applyBorder="1" applyAlignment="1">
      <alignment horizontal="center" vertical="center"/>
    </xf>
    <xf numFmtId="0" fontId="18" fillId="20" borderId="1" xfId="0" applyFont="1" applyFill="1" applyBorder="1" applyAlignment="1">
      <alignment horizontal="left" vertical="center"/>
    </xf>
    <xf numFmtId="165" fontId="5" fillId="20" borderId="1" xfId="0" applyNumberFormat="1" applyFont="1" applyFill="1" applyBorder="1" applyAlignment="1">
      <alignment horizontal="center" vertical="center"/>
    </xf>
    <xf numFmtId="0" fontId="30" fillId="23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4" fontId="32" fillId="13" borderId="1" xfId="0" applyNumberFormat="1" applyFont="1" applyFill="1" applyBorder="1" applyAlignment="1">
      <alignment horizontal="center" vertical="center"/>
    </xf>
    <xf numFmtId="14" fontId="27" fillId="27" borderId="1" xfId="0" applyNumberFormat="1" applyFont="1" applyFill="1" applyBorder="1" applyAlignment="1">
      <alignment horizontal="center" vertical="center"/>
    </xf>
    <xf numFmtId="0" fontId="33" fillId="23" borderId="1" xfId="0" applyFont="1" applyFill="1" applyBorder="1" applyAlignment="1">
      <alignment horizontal="center" vertical="center"/>
    </xf>
    <xf numFmtId="14" fontId="19" fillId="13" borderId="1" xfId="0" applyNumberFormat="1" applyFont="1" applyFill="1" applyBorder="1" applyAlignment="1">
      <alignment horizontal="center" vertical="center"/>
    </xf>
    <xf numFmtId="14" fontId="24" fillId="24" borderId="1" xfId="0" applyNumberFormat="1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34" fillId="20" borderId="1" xfId="0" applyFont="1" applyFill="1" applyBorder="1" applyAlignment="1">
      <alignment horizontal="center" vertical="center"/>
    </xf>
    <xf numFmtId="0" fontId="34" fillId="12" borderId="1" xfId="0" applyFont="1" applyFill="1" applyBorder="1" applyAlignment="1">
      <alignment horizontal="center" vertical="center"/>
    </xf>
    <xf numFmtId="0" fontId="35" fillId="20" borderId="1" xfId="0" applyFont="1" applyFill="1" applyBorder="1" applyAlignment="1">
      <alignment horizontal="center" vertical="center"/>
    </xf>
    <xf numFmtId="0" fontId="33" fillId="20" borderId="1" xfId="0" applyFont="1" applyFill="1" applyBorder="1" applyAlignment="1">
      <alignment horizontal="center" vertical="center"/>
    </xf>
    <xf numFmtId="0" fontId="36" fillId="25" borderId="1" xfId="0" applyFont="1" applyFill="1" applyBorder="1" applyAlignment="1">
      <alignment horizontal="left" vertical="center" wrapText="1"/>
    </xf>
    <xf numFmtId="0" fontId="37" fillId="27" borderId="1" xfId="0" applyFont="1" applyFill="1" applyBorder="1" applyAlignment="1">
      <alignment horizontal="left" vertical="center" wrapText="1"/>
    </xf>
    <xf numFmtId="165" fontId="38" fillId="13" borderId="1" xfId="0" applyNumberFormat="1" applyFont="1" applyFill="1" applyBorder="1" applyAlignment="1">
      <alignment horizontal="center" vertical="center"/>
    </xf>
    <xf numFmtId="9" fontId="39" fillId="12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40" fillId="12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9" fontId="39" fillId="20" borderId="1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40" fillId="20" borderId="1" xfId="0" applyFont="1" applyFill="1" applyBorder="1" applyAlignment="1">
      <alignment horizontal="center" vertical="center"/>
    </xf>
    <xf numFmtId="0" fontId="42" fillId="11" borderId="1" xfId="0" applyFont="1" applyFill="1" applyBorder="1" applyAlignment="1">
      <alignment horizontal="center" vertical="center"/>
    </xf>
    <xf numFmtId="0" fontId="43" fillId="9" borderId="1" xfId="0" applyFont="1" applyFill="1" applyBorder="1" applyAlignment="1">
      <alignment horizontal="center" vertical="center"/>
    </xf>
    <xf numFmtId="0" fontId="44" fillId="19" borderId="1" xfId="0" applyFont="1" applyFill="1" applyBorder="1" applyAlignment="1">
      <alignment horizontal="center" vertical="center"/>
    </xf>
    <xf numFmtId="0" fontId="45" fillId="1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8" fillId="13" borderId="1" xfId="0" applyFont="1" applyFill="1" applyBorder="1" applyAlignment="1">
      <alignment horizontal="center" vertical="center"/>
    </xf>
    <xf numFmtId="165" fontId="46" fillId="13" borderId="1" xfId="0" applyNumberFormat="1" applyFont="1" applyFill="1" applyBorder="1" applyAlignment="1">
      <alignment horizontal="center" vertical="center"/>
    </xf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FFFF0"/>
      <rgbColor rgb="FF0000FF"/>
      <rgbColor rgb="FFFEF9E7"/>
      <rgbColor rgb="FFFF00FF"/>
      <rgbColor rgb="FFF0F4FF"/>
      <rgbColor rgb="FF800000"/>
      <rgbColor rgb="FF1A7A40"/>
      <rgbColor rgb="FF000080"/>
      <rgbColor rgb="FFCA8A04"/>
      <rgbColor rgb="FF800080"/>
      <rgbColor rgb="FFFAFBFF"/>
      <rgbColor rgb="FFB0B8CC"/>
      <rgbColor rgb="FF878787"/>
      <rgbColor rgb="FF6DB5D9"/>
      <rgbColor rgb="FF993333"/>
      <rgbColor rgb="FFFFF8E1"/>
      <rgbColor rgb="FFEFF8FF"/>
      <rgbColor rgb="FF660066"/>
      <rgbColor rgb="FFE74C3C"/>
      <rgbColor rgb="FF0066CC"/>
      <rgbColor rgb="FFD0D0D0"/>
      <rgbColor rgb="FF000080"/>
      <rgbColor rgb="FFFF00FF"/>
      <rgbColor rgb="FFFEF3E6"/>
      <rgbColor rgb="FFF8FFFE"/>
      <rgbColor rgb="FF800080"/>
      <rgbColor rgb="FF800000"/>
      <rgbColor rgb="FF008080"/>
      <rgbColor rgb="FF0000FF"/>
      <rgbColor rgb="FFF9F9F9"/>
      <rgbColor rgb="FFF0FFF4"/>
      <rgbColor rgb="FFEFF6FF"/>
      <rgbColor rgb="FFFEF3C7"/>
      <rgbColor rgb="FF7EC7D9"/>
      <rgbColor rgb="FFF5F0FF"/>
      <rgbColor rgb="FF888888"/>
      <rgbColor rgb="FFD9D9D9"/>
      <rgbColor rgb="FF4A90D9"/>
      <rgbColor rgb="FF5BA3D9"/>
      <rgbColor rgb="FFF5F5F5"/>
      <rgbColor rgb="FFFEF2F2"/>
      <rgbColor rgb="FFF39C12"/>
      <rgbColor rgb="FFE67E22"/>
      <rgbColor rgb="FF666666"/>
      <rgbColor rgb="FF999999"/>
      <rgbColor rgb="FF0F3460"/>
      <rgbColor rgb="FF27AE60"/>
      <rgbColor rgb="FF16213E"/>
      <rgbColor rgb="FF1A1A2E"/>
      <rgbColor rgb="FF993300"/>
      <rgbColor rgb="FF9B59B6"/>
      <rgbColor rgb="FF555555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Desempenho por Disciplina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Desempenho'!$D$3</c:f>
              <c:strCache>
                <c:ptCount val="1"/>
                <c:pt idx="0">
                  <c:v>% Média de Acertos</c:v>
                </c:pt>
              </c:strCache>
            </c:strRef>
          </c:tx>
          <c:spPr>
            <a:solidFill>
              <a:srgbClr val="4A90D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Desempenho'!$A$4:$A$8</c:f>
              <c:strCache>
                <c:ptCount val="5"/>
                <c:pt idx="0">
                  <c:v>Clínica Médica</c:v>
                </c:pt>
                <c:pt idx="1">
                  <c:v>Cirurgia</c:v>
                </c:pt>
                <c:pt idx="2">
                  <c:v>Pediatria</c:v>
                </c:pt>
                <c:pt idx="3">
                  <c:v>Ginecologia/Obstetrícia</c:v>
                </c:pt>
                <c:pt idx="4">
                  <c:v>Medicina Preventiva</c:v>
                </c:pt>
              </c:strCache>
            </c:strRef>
          </c:cat>
          <c:val>
            <c:numRef>
              <c:f>'📈 Desempenho'!$D$4:$D$8</c:f>
              <c:numCache>
                <c:formatCode>0.0%</c:formatCode>
                <c:ptCount val="5"/>
                <c:pt idx="0">
                  <c:v>0.76923076923076927</c:v>
                </c:pt>
                <c:pt idx="1">
                  <c:v>0.71111111111111114</c:v>
                </c:pt>
                <c:pt idx="2">
                  <c:v>0.75</c:v>
                </c:pt>
                <c:pt idx="3">
                  <c:v>0.8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7-407E-AAF1-5C2F66414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64117"/>
        <c:axId val="9864607"/>
      </c:barChart>
      <c:catAx>
        <c:axId val="98641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Disciplina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864607"/>
        <c:crosses val="autoZero"/>
        <c:auto val="1"/>
        <c:lblAlgn val="ctr"/>
        <c:lblOffset val="100"/>
        <c:noMultiLvlLbl val="0"/>
      </c:catAx>
      <c:valAx>
        <c:axId val="98646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de Acertos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8641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307080</xdr:colOff>
      <xdr:row>36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showGridLines="0" topLeftCell="A16" zoomScaleNormal="100" workbookViewId="0">
      <selection activeCell="J7" sqref="J7"/>
    </sheetView>
  </sheetViews>
  <sheetFormatPr defaultColWidth="8.6640625" defaultRowHeight="14.4" x14ac:dyDescent="0.3"/>
  <cols>
    <col min="1" max="1" width="26" customWidth="1"/>
    <col min="2" max="7" width="14" customWidth="1"/>
    <col min="8" max="8" width="3" customWidth="1"/>
    <col min="9" max="14" width="12" customWidth="1"/>
  </cols>
  <sheetData>
    <row r="1" spans="1:14" ht="49.5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4.75" customHeight="1" x14ac:dyDescent="0.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21.75" customHeight="1" x14ac:dyDescent="0.3">
      <c r="A4" s="8" t="s">
        <v>2</v>
      </c>
      <c r="B4" s="8"/>
      <c r="C4" s="8"/>
      <c r="D4" s="8"/>
      <c r="E4" s="8"/>
      <c r="F4" s="8"/>
      <c r="G4" s="8"/>
      <c r="I4" s="8" t="s">
        <v>3</v>
      </c>
      <c r="J4" s="8"/>
      <c r="K4" s="8"/>
      <c r="L4" s="8"/>
      <c r="M4" s="8"/>
      <c r="N4" s="8"/>
    </row>
    <row r="5" spans="1:14" ht="22.8" x14ac:dyDescent="0.3">
      <c r="B5" s="11" t="s">
        <v>4</v>
      </c>
      <c r="C5" s="12" t="s">
        <v>5</v>
      </c>
      <c r="D5" s="13" t="s">
        <v>6</v>
      </c>
      <c r="E5" s="14" t="s">
        <v>7</v>
      </c>
      <c r="F5" s="15" t="s">
        <v>8</v>
      </c>
      <c r="G5" s="16" t="s">
        <v>9</v>
      </c>
      <c r="H5" s="17" t="s">
        <v>10</v>
      </c>
      <c r="I5" s="18" t="s">
        <v>11</v>
      </c>
      <c r="J5" s="7">
        <v>1</v>
      </c>
      <c r="K5" s="7"/>
      <c r="L5" s="7"/>
      <c r="M5" s="7"/>
      <c r="N5" s="7"/>
    </row>
    <row r="6" spans="1:14" ht="27.75" customHeight="1" x14ac:dyDescent="0.3">
      <c r="A6" s="19" t="s">
        <v>12</v>
      </c>
      <c r="B6" s="20" t="s">
        <v>13</v>
      </c>
      <c r="C6" s="20" t="s">
        <v>13</v>
      </c>
      <c r="D6" s="20" t="s">
        <v>13</v>
      </c>
      <c r="E6" s="20" t="s">
        <v>13</v>
      </c>
      <c r="F6" s="20" t="s">
        <v>13</v>
      </c>
      <c r="G6" s="20" t="s">
        <v>13</v>
      </c>
      <c r="H6" s="20" t="s">
        <v>13</v>
      </c>
      <c r="I6" s="18" t="s">
        <v>14</v>
      </c>
      <c r="J6" s="6">
        <v>46123</v>
      </c>
      <c r="K6" s="6"/>
      <c r="L6" s="6"/>
      <c r="M6" s="6"/>
      <c r="N6" s="6"/>
    </row>
    <row r="7" spans="1:14" ht="27.75" customHeight="1" x14ac:dyDescent="0.3">
      <c r="A7" s="19" t="s">
        <v>15</v>
      </c>
      <c r="B7" s="21" t="s">
        <v>16</v>
      </c>
      <c r="C7" s="21" t="s">
        <v>16</v>
      </c>
      <c r="D7" s="21" t="s">
        <v>16</v>
      </c>
      <c r="E7" s="21" t="s">
        <v>16</v>
      </c>
      <c r="F7" s="21" t="s">
        <v>16</v>
      </c>
      <c r="G7" s="21" t="s">
        <v>16</v>
      </c>
      <c r="H7" s="21" t="s">
        <v>16</v>
      </c>
    </row>
    <row r="8" spans="1:14" ht="27.75" customHeight="1" x14ac:dyDescent="0.3">
      <c r="A8" s="19" t="s">
        <v>17</v>
      </c>
      <c r="B8" s="22" t="s">
        <v>18</v>
      </c>
      <c r="C8" s="22" t="s">
        <v>18</v>
      </c>
      <c r="D8" s="22" t="s">
        <v>18</v>
      </c>
      <c r="E8" s="22" t="s">
        <v>18</v>
      </c>
      <c r="F8" s="22" t="s">
        <v>18</v>
      </c>
      <c r="G8" s="22" t="s">
        <v>19</v>
      </c>
      <c r="H8" s="22" t="s">
        <v>19</v>
      </c>
    </row>
    <row r="10" spans="1:14" ht="21.75" customHeight="1" x14ac:dyDescent="0.3">
      <c r="A10" s="8" t="s">
        <v>20</v>
      </c>
      <c r="B10" s="8"/>
      <c r="C10" s="8"/>
      <c r="D10" s="8"/>
      <c r="E10" s="8"/>
      <c r="F10" s="8"/>
      <c r="G10" s="8"/>
      <c r="I10" s="5" t="s">
        <v>21</v>
      </c>
      <c r="J10" s="5"/>
      <c r="K10" s="5"/>
      <c r="L10" s="5"/>
      <c r="M10" s="5"/>
      <c r="N10" s="5"/>
    </row>
    <row r="11" spans="1:14" ht="21.75" customHeight="1" x14ac:dyDescent="0.3">
      <c r="A11" s="23" t="s">
        <v>22</v>
      </c>
      <c r="B11" s="23" t="s">
        <v>23</v>
      </c>
      <c r="C11" s="23" t="s">
        <v>24</v>
      </c>
      <c r="D11" s="23" t="s">
        <v>25</v>
      </c>
      <c r="E11" s="23" t="s">
        <v>26</v>
      </c>
      <c r="I11" s="5"/>
      <c r="J11" s="5"/>
      <c r="K11" s="5"/>
      <c r="L11" s="5"/>
      <c r="M11" s="5"/>
      <c r="N11" s="5"/>
    </row>
    <row r="12" spans="1:14" ht="21.75" customHeight="1" x14ac:dyDescent="0.3">
      <c r="A12" s="24" t="s">
        <v>27</v>
      </c>
      <c r="B12" s="25">
        <v>12</v>
      </c>
      <c r="C12" s="25" t="s">
        <v>28</v>
      </c>
      <c r="D12" s="26" t="s">
        <v>29</v>
      </c>
      <c r="E12" s="25">
        <v>50</v>
      </c>
      <c r="I12" s="5"/>
      <c r="J12" s="5"/>
      <c r="K12" s="5"/>
      <c r="L12" s="5"/>
      <c r="M12" s="5"/>
      <c r="N12" s="5"/>
    </row>
    <row r="13" spans="1:14" ht="21.75" customHeight="1" x14ac:dyDescent="0.3">
      <c r="A13" s="27" t="s">
        <v>30</v>
      </c>
      <c r="B13" s="25">
        <v>6</v>
      </c>
      <c r="C13" s="25" t="s">
        <v>31</v>
      </c>
      <c r="D13" s="26" t="s">
        <v>32</v>
      </c>
      <c r="E13" s="25">
        <v>30</v>
      </c>
      <c r="I13" s="5"/>
      <c r="J13" s="5"/>
      <c r="K13" s="5"/>
      <c r="L13" s="5"/>
      <c r="M13" s="5"/>
      <c r="N13" s="5"/>
    </row>
    <row r="14" spans="1:14" ht="21.75" customHeight="1" x14ac:dyDescent="0.3">
      <c r="A14" s="28" t="s">
        <v>33</v>
      </c>
      <c r="B14" s="25">
        <v>5</v>
      </c>
      <c r="C14" s="25" t="s">
        <v>34</v>
      </c>
      <c r="D14" s="26" t="s">
        <v>35</v>
      </c>
      <c r="E14" s="25">
        <v>25</v>
      </c>
      <c r="I14" s="5"/>
      <c r="J14" s="5"/>
      <c r="K14" s="5"/>
      <c r="L14" s="5"/>
      <c r="M14" s="5"/>
      <c r="N14" s="5"/>
    </row>
    <row r="15" spans="1:14" ht="21.75" customHeight="1" x14ac:dyDescent="0.3">
      <c r="A15" s="29" t="s">
        <v>36</v>
      </c>
      <c r="B15" s="25">
        <v>4</v>
      </c>
      <c r="C15" s="25" t="s">
        <v>37</v>
      </c>
      <c r="D15" s="26" t="s">
        <v>38</v>
      </c>
      <c r="E15" s="25">
        <v>20</v>
      </c>
      <c r="I15" s="5"/>
      <c r="J15" s="5"/>
      <c r="K15" s="5"/>
      <c r="L15" s="5"/>
      <c r="M15" s="5"/>
      <c r="N15" s="5"/>
    </row>
    <row r="16" spans="1:14" ht="21.75" customHeight="1" x14ac:dyDescent="0.3">
      <c r="A16" s="30" t="s">
        <v>39</v>
      </c>
      <c r="B16" s="25">
        <v>3</v>
      </c>
      <c r="C16" s="25" t="s">
        <v>40</v>
      </c>
      <c r="D16" s="26" t="s">
        <v>41</v>
      </c>
      <c r="E16" s="25">
        <v>15</v>
      </c>
      <c r="I16" s="5"/>
      <c r="J16" s="5"/>
      <c r="K16" s="5"/>
      <c r="L16" s="5"/>
      <c r="M16" s="5"/>
      <c r="N16" s="5"/>
    </row>
    <row r="17" spans="1:14" ht="21.75" customHeight="1" x14ac:dyDescent="0.3">
      <c r="I17" s="5"/>
      <c r="J17" s="5"/>
      <c r="K17" s="5"/>
      <c r="L17" s="5"/>
      <c r="M17" s="5"/>
      <c r="N17" s="5"/>
    </row>
    <row r="18" spans="1:14" ht="21.75" customHeight="1" x14ac:dyDescent="0.3">
      <c r="A18" s="8" t="s">
        <v>42</v>
      </c>
      <c r="B18" s="8"/>
      <c r="C18" s="8"/>
      <c r="D18" s="8"/>
      <c r="E18" s="8"/>
      <c r="F18" s="8"/>
      <c r="G18" s="8"/>
    </row>
    <row r="19" spans="1:14" x14ac:dyDescent="0.3">
      <c r="A19" s="23" t="s">
        <v>43</v>
      </c>
      <c r="B19" s="23" t="s">
        <v>44</v>
      </c>
      <c r="C19" s="23" t="s">
        <v>45</v>
      </c>
      <c r="D19" s="23" t="s">
        <v>46</v>
      </c>
      <c r="E19" s="23" t="s">
        <v>47</v>
      </c>
    </row>
    <row r="20" spans="1:14" ht="21.75" customHeight="1" x14ac:dyDescent="0.3">
      <c r="A20" s="31" t="s">
        <v>48</v>
      </c>
      <c r="B20" s="25">
        <v>30</v>
      </c>
      <c r="C20" s="32"/>
      <c r="D20" s="33" t="str">
        <f>IF(C20="","",C20/B20)</f>
        <v/>
      </c>
      <c r="E20" s="34" t="s">
        <v>19</v>
      </c>
    </row>
    <row r="21" spans="1:14" ht="21.75" customHeight="1" x14ac:dyDescent="0.3">
      <c r="A21" s="35" t="s">
        <v>49</v>
      </c>
      <c r="B21" s="36">
        <v>140</v>
      </c>
      <c r="C21" s="32"/>
      <c r="D21" s="37" t="str">
        <f>IF(C21="","",C21/B21)</f>
        <v/>
      </c>
      <c r="E21" s="38" t="s">
        <v>19</v>
      </c>
    </row>
    <row r="22" spans="1:14" ht="21.75" customHeight="1" x14ac:dyDescent="0.3">
      <c r="A22" s="31" t="s">
        <v>50</v>
      </c>
      <c r="B22" s="25">
        <v>15</v>
      </c>
      <c r="C22" s="32"/>
      <c r="D22" s="33" t="str">
        <f>IF(C22="","",C22/B22)</f>
        <v/>
      </c>
      <c r="E22" s="34" t="s">
        <v>19</v>
      </c>
    </row>
    <row r="23" spans="1:14" ht="21.75" customHeight="1" x14ac:dyDescent="0.3">
      <c r="A23" s="35" t="s">
        <v>51</v>
      </c>
      <c r="B23" s="36" t="s">
        <v>52</v>
      </c>
      <c r="C23" s="32"/>
      <c r="D23" s="36"/>
      <c r="E23" s="38" t="s">
        <v>19</v>
      </c>
    </row>
    <row r="24" spans="1:14" ht="21.75" customHeight="1" x14ac:dyDescent="0.3">
      <c r="A24" s="31" t="s">
        <v>53</v>
      </c>
      <c r="B24" s="25">
        <v>10</v>
      </c>
      <c r="C24" s="32"/>
      <c r="D24" s="33" t="str">
        <f>IF(C24="","",C24/B24)</f>
        <v/>
      </c>
      <c r="E24" s="34" t="s">
        <v>19</v>
      </c>
    </row>
  </sheetData>
  <mergeCells count="9">
    <mergeCell ref="J6:N6"/>
    <mergeCell ref="A10:G10"/>
    <mergeCell ref="I10:N17"/>
    <mergeCell ref="A18:G18"/>
    <mergeCell ref="A1:N1"/>
    <mergeCell ref="A2:N2"/>
    <mergeCell ref="A4:G4"/>
    <mergeCell ref="I4:N4"/>
    <mergeCell ref="J5:N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showGridLines="0" zoomScaleNormal="100" workbookViewId="0">
      <pane ySplit="3" topLeftCell="A4" activePane="bottomLeft" state="frozen"/>
      <selection pane="bottomLeft" activeCell="L19" sqref="L19"/>
    </sheetView>
  </sheetViews>
  <sheetFormatPr defaultColWidth="8.6640625" defaultRowHeight="14.4" x14ac:dyDescent="0.3"/>
  <cols>
    <col min="1" max="1" width="8" customWidth="1"/>
    <col min="2" max="2" width="12" customWidth="1"/>
    <col min="3" max="3" width="22" customWidth="1"/>
    <col min="4" max="4" width="28" customWidth="1"/>
    <col min="5" max="5" width="16" customWidth="1"/>
    <col min="6" max="6" width="18" customWidth="1"/>
    <col min="7" max="8" width="13" customWidth="1"/>
    <col min="9" max="9" width="12" customWidth="1"/>
    <col min="10" max="10" width="16" customWidth="1"/>
    <col min="11" max="11" width="25" customWidth="1"/>
    <col min="12" max="12" width="12" customWidth="1"/>
  </cols>
  <sheetData>
    <row r="1" spans="1:12" ht="45" customHeight="1" x14ac:dyDescent="0.3">
      <c r="A1" s="4" t="s">
        <v>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9.5" customHeight="1" x14ac:dyDescent="0.3">
      <c r="A2" s="3" t="s">
        <v>55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27.75" customHeight="1" x14ac:dyDescent="0.3">
      <c r="A3" s="39" t="s">
        <v>56</v>
      </c>
      <c r="B3" s="39" t="s">
        <v>57</v>
      </c>
      <c r="C3" s="39" t="s">
        <v>22</v>
      </c>
      <c r="D3" s="39" t="s">
        <v>58</v>
      </c>
      <c r="E3" s="39" t="s">
        <v>59</v>
      </c>
      <c r="F3" s="39" t="s">
        <v>60</v>
      </c>
      <c r="G3" s="39" t="s">
        <v>61</v>
      </c>
      <c r="H3" s="39" t="s">
        <v>62</v>
      </c>
      <c r="I3" s="39" t="s">
        <v>63</v>
      </c>
      <c r="J3" s="39" t="s">
        <v>47</v>
      </c>
      <c r="K3" s="39" t="s">
        <v>64</v>
      </c>
      <c r="L3" s="39" t="s">
        <v>65</v>
      </c>
    </row>
    <row r="4" spans="1:12" ht="21.75" customHeight="1" x14ac:dyDescent="0.3">
      <c r="A4" s="40" t="s">
        <v>66</v>
      </c>
      <c r="B4" s="41" t="s">
        <v>67</v>
      </c>
      <c r="C4" s="42" t="s">
        <v>27</v>
      </c>
      <c r="D4" s="43" t="s">
        <v>68</v>
      </c>
      <c r="E4" s="44" t="s">
        <v>69</v>
      </c>
      <c r="F4" s="45" t="s">
        <v>70</v>
      </c>
      <c r="G4" s="46">
        <v>2</v>
      </c>
      <c r="H4" s="47"/>
      <c r="I4" s="48" t="str">
        <f t="shared" ref="I4:I21" si="0">IF(H4="","",H4/G4)</f>
        <v/>
      </c>
      <c r="J4" s="49" t="s">
        <v>71</v>
      </c>
      <c r="K4" s="50" t="s">
        <v>72</v>
      </c>
      <c r="L4" s="41" t="s">
        <v>73</v>
      </c>
    </row>
    <row r="5" spans="1:12" ht="21.75" customHeight="1" x14ac:dyDescent="0.3">
      <c r="A5" s="51" t="s">
        <v>66</v>
      </c>
      <c r="B5" s="52" t="s">
        <v>67</v>
      </c>
      <c r="C5" s="53" t="s">
        <v>39</v>
      </c>
      <c r="D5" s="54" t="s">
        <v>74</v>
      </c>
      <c r="E5" s="55" t="s">
        <v>75</v>
      </c>
      <c r="F5" s="56" t="s">
        <v>76</v>
      </c>
      <c r="G5" s="57">
        <v>1.5</v>
      </c>
      <c r="H5" s="47"/>
      <c r="I5" s="58" t="str">
        <f t="shared" si="0"/>
        <v/>
      </c>
      <c r="J5" s="49" t="s">
        <v>71</v>
      </c>
      <c r="K5" s="59" t="s">
        <v>77</v>
      </c>
      <c r="L5" s="52" t="s">
        <v>78</v>
      </c>
    </row>
    <row r="6" spans="1:12" ht="21.75" customHeight="1" x14ac:dyDescent="0.3">
      <c r="A6" s="40" t="s">
        <v>66</v>
      </c>
      <c r="B6" s="41" t="s">
        <v>67</v>
      </c>
      <c r="C6" s="42" t="s">
        <v>27</v>
      </c>
      <c r="D6" s="43" t="s">
        <v>79</v>
      </c>
      <c r="E6" s="60" t="s">
        <v>80</v>
      </c>
      <c r="F6" s="45" t="s">
        <v>81</v>
      </c>
      <c r="G6" s="46">
        <v>0.5</v>
      </c>
      <c r="H6" s="47"/>
      <c r="I6" s="48" t="str">
        <f t="shared" si="0"/>
        <v/>
      </c>
      <c r="J6" s="61" t="s">
        <v>82</v>
      </c>
      <c r="K6" s="50" t="s">
        <v>83</v>
      </c>
      <c r="L6" s="41" t="s">
        <v>84</v>
      </c>
    </row>
    <row r="7" spans="1:12" ht="21.75" customHeight="1" x14ac:dyDescent="0.3">
      <c r="A7" s="51" t="s">
        <v>66</v>
      </c>
      <c r="B7" s="52" t="s">
        <v>85</v>
      </c>
      <c r="C7" s="62" t="s">
        <v>30</v>
      </c>
      <c r="D7" s="54" t="s">
        <v>86</v>
      </c>
      <c r="E7" s="44" t="s">
        <v>69</v>
      </c>
      <c r="F7" s="56" t="s">
        <v>87</v>
      </c>
      <c r="G7" s="57">
        <v>2</v>
      </c>
      <c r="H7" s="47"/>
      <c r="I7" s="58" t="str">
        <f t="shared" si="0"/>
        <v/>
      </c>
      <c r="J7" s="61" t="s">
        <v>82</v>
      </c>
      <c r="K7" s="59"/>
      <c r="L7" s="52" t="s">
        <v>73</v>
      </c>
    </row>
    <row r="8" spans="1:12" ht="21.75" customHeight="1" x14ac:dyDescent="0.3">
      <c r="A8" s="40" t="s">
        <v>66</v>
      </c>
      <c r="B8" s="41" t="s">
        <v>85</v>
      </c>
      <c r="C8" s="42" t="s">
        <v>27</v>
      </c>
      <c r="D8" s="43" t="s">
        <v>88</v>
      </c>
      <c r="E8" s="55" t="s">
        <v>75</v>
      </c>
      <c r="F8" s="45" t="s">
        <v>89</v>
      </c>
      <c r="G8" s="46">
        <v>1.5</v>
      </c>
      <c r="H8" s="47"/>
      <c r="I8" s="48" t="str">
        <f t="shared" si="0"/>
        <v/>
      </c>
      <c r="J8" s="61" t="s">
        <v>82</v>
      </c>
      <c r="K8" s="50" t="s">
        <v>90</v>
      </c>
      <c r="L8" s="41" t="s">
        <v>73</v>
      </c>
    </row>
    <row r="9" spans="1:12" ht="21.75" customHeight="1" x14ac:dyDescent="0.3">
      <c r="A9" s="51" t="s">
        <v>66</v>
      </c>
      <c r="B9" s="52" t="s">
        <v>85</v>
      </c>
      <c r="C9" s="62" t="s">
        <v>30</v>
      </c>
      <c r="D9" s="54" t="s">
        <v>91</v>
      </c>
      <c r="E9" s="63" t="s">
        <v>92</v>
      </c>
      <c r="F9" s="56" t="s">
        <v>93</v>
      </c>
      <c r="G9" s="57">
        <v>0.5</v>
      </c>
      <c r="H9" s="47"/>
      <c r="I9" s="58" t="str">
        <f t="shared" si="0"/>
        <v/>
      </c>
      <c r="J9" s="61" t="s">
        <v>82</v>
      </c>
      <c r="K9" s="59"/>
      <c r="L9" s="52" t="s">
        <v>78</v>
      </c>
    </row>
    <row r="10" spans="1:12" ht="21.75" customHeight="1" x14ac:dyDescent="0.3">
      <c r="A10" s="40" t="s">
        <v>66</v>
      </c>
      <c r="B10" s="41" t="s">
        <v>94</v>
      </c>
      <c r="C10" s="64" t="s">
        <v>33</v>
      </c>
      <c r="D10" s="43" t="s">
        <v>95</v>
      </c>
      <c r="E10" s="44" t="s">
        <v>69</v>
      </c>
      <c r="F10" s="45" t="s">
        <v>96</v>
      </c>
      <c r="G10" s="46">
        <v>2</v>
      </c>
      <c r="H10" s="47"/>
      <c r="I10" s="48" t="str">
        <f t="shared" si="0"/>
        <v/>
      </c>
      <c r="J10" s="61" t="s">
        <v>82</v>
      </c>
      <c r="K10" s="50"/>
      <c r="L10" s="41" t="s">
        <v>73</v>
      </c>
    </row>
    <row r="11" spans="1:12" ht="21.75" customHeight="1" x14ac:dyDescent="0.3">
      <c r="A11" s="51" t="s">
        <v>66</v>
      </c>
      <c r="B11" s="52" t="s">
        <v>94</v>
      </c>
      <c r="C11" s="65" t="s">
        <v>36</v>
      </c>
      <c r="D11" s="54" t="s">
        <v>97</v>
      </c>
      <c r="E11" s="44" t="s">
        <v>69</v>
      </c>
      <c r="F11" s="56" t="s">
        <v>98</v>
      </c>
      <c r="G11" s="57">
        <v>1.5</v>
      </c>
      <c r="H11" s="47"/>
      <c r="I11" s="58" t="str">
        <f t="shared" si="0"/>
        <v/>
      </c>
      <c r="J11" s="61" t="s">
        <v>82</v>
      </c>
      <c r="K11" s="59" t="s">
        <v>99</v>
      </c>
      <c r="L11" s="52" t="s">
        <v>73</v>
      </c>
    </row>
    <row r="12" spans="1:12" ht="21.75" customHeight="1" x14ac:dyDescent="0.3">
      <c r="A12" s="40" t="s">
        <v>66</v>
      </c>
      <c r="B12" s="41" t="s">
        <v>94</v>
      </c>
      <c r="C12" s="64" t="s">
        <v>33</v>
      </c>
      <c r="D12" s="43" t="s">
        <v>100</v>
      </c>
      <c r="E12" s="55" t="s">
        <v>75</v>
      </c>
      <c r="F12" s="45" t="s">
        <v>76</v>
      </c>
      <c r="G12" s="46">
        <v>1</v>
      </c>
      <c r="H12" s="47"/>
      <c r="I12" s="48" t="str">
        <f t="shared" si="0"/>
        <v/>
      </c>
      <c r="J12" s="61" t="s">
        <v>82</v>
      </c>
      <c r="K12" s="50"/>
      <c r="L12" s="41" t="s">
        <v>78</v>
      </c>
    </row>
    <row r="13" spans="1:12" ht="21.75" customHeight="1" x14ac:dyDescent="0.3">
      <c r="A13" s="51" t="s">
        <v>66</v>
      </c>
      <c r="B13" s="52" t="s">
        <v>101</v>
      </c>
      <c r="C13" s="42" t="s">
        <v>27</v>
      </c>
      <c r="D13" s="54" t="s">
        <v>102</v>
      </c>
      <c r="E13" s="44" t="s">
        <v>69</v>
      </c>
      <c r="F13" s="56" t="s">
        <v>103</v>
      </c>
      <c r="G13" s="57">
        <v>2</v>
      </c>
      <c r="H13" s="47"/>
      <c r="I13" s="58" t="str">
        <f t="shared" si="0"/>
        <v/>
      </c>
      <c r="J13" s="61" t="s">
        <v>82</v>
      </c>
      <c r="K13" s="59" t="s">
        <v>104</v>
      </c>
      <c r="L13" s="52" t="s">
        <v>73</v>
      </c>
    </row>
    <row r="14" spans="1:12" ht="21.75" customHeight="1" x14ac:dyDescent="0.3">
      <c r="A14" s="40" t="s">
        <v>66</v>
      </c>
      <c r="B14" s="41" t="s">
        <v>101</v>
      </c>
      <c r="C14" s="53" t="s">
        <v>39</v>
      </c>
      <c r="D14" s="43" t="s">
        <v>105</v>
      </c>
      <c r="E14" s="55" t="s">
        <v>75</v>
      </c>
      <c r="F14" s="45" t="s">
        <v>76</v>
      </c>
      <c r="G14" s="46">
        <v>1</v>
      </c>
      <c r="H14" s="47"/>
      <c r="I14" s="48" t="str">
        <f t="shared" si="0"/>
        <v/>
      </c>
      <c r="J14" s="61" t="s">
        <v>82</v>
      </c>
      <c r="K14" s="50"/>
      <c r="L14" s="41" t="s">
        <v>78</v>
      </c>
    </row>
    <row r="15" spans="1:12" ht="21.75" customHeight="1" x14ac:dyDescent="0.3">
      <c r="A15" s="51" t="s">
        <v>66</v>
      </c>
      <c r="B15" s="52" t="s">
        <v>101</v>
      </c>
      <c r="C15" s="62" t="s">
        <v>30</v>
      </c>
      <c r="D15" s="54" t="s">
        <v>106</v>
      </c>
      <c r="E15" s="63" t="s">
        <v>92</v>
      </c>
      <c r="F15" s="56" t="s">
        <v>107</v>
      </c>
      <c r="G15" s="57">
        <v>0.5</v>
      </c>
      <c r="H15" s="47"/>
      <c r="I15" s="58" t="str">
        <f t="shared" si="0"/>
        <v/>
      </c>
      <c r="J15" s="61" t="s">
        <v>82</v>
      </c>
      <c r="K15" s="59"/>
      <c r="L15" s="52" t="s">
        <v>78</v>
      </c>
    </row>
    <row r="16" spans="1:12" ht="21.75" customHeight="1" x14ac:dyDescent="0.3">
      <c r="A16" s="40" t="s">
        <v>66</v>
      </c>
      <c r="B16" s="41" t="s">
        <v>108</v>
      </c>
      <c r="C16" s="62" t="s">
        <v>30</v>
      </c>
      <c r="D16" s="43" t="s">
        <v>109</v>
      </c>
      <c r="E16" s="44" t="s">
        <v>69</v>
      </c>
      <c r="F16" s="45" t="s">
        <v>110</v>
      </c>
      <c r="G16" s="46">
        <v>2</v>
      </c>
      <c r="H16" s="47"/>
      <c r="I16" s="48" t="str">
        <f t="shared" si="0"/>
        <v/>
      </c>
      <c r="J16" s="61" t="s">
        <v>82</v>
      </c>
      <c r="K16" s="50"/>
      <c r="L16" s="41" t="s">
        <v>73</v>
      </c>
    </row>
    <row r="17" spans="1:12" ht="21.75" customHeight="1" x14ac:dyDescent="0.3">
      <c r="A17" s="51" t="s">
        <v>66</v>
      </c>
      <c r="B17" s="52" t="s">
        <v>108</v>
      </c>
      <c r="C17" s="42" t="s">
        <v>27</v>
      </c>
      <c r="D17" s="54" t="s">
        <v>111</v>
      </c>
      <c r="E17" s="55" t="s">
        <v>75</v>
      </c>
      <c r="F17" s="56" t="s">
        <v>112</v>
      </c>
      <c r="G17" s="57">
        <v>2</v>
      </c>
      <c r="H17" s="47"/>
      <c r="I17" s="58" t="str">
        <f t="shared" si="0"/>
        <v/>
      </c>
      <c r="J17" s="61" t="s">
        <v>82</v>
      </c>
      <c r="K17" s="59" t="s">
        <v>113</v>
      </c>
      <c r="L17" s="52" t="s">
        <v>73</v>
      </c>
    </row>
    <row r="18" spans="1:12" ht="21.75" customHeight="1" x14ac:dyDescent="0.3">
      <c r="A18" s="40" t="s">
        <v>66</v>
      </c>
      <c r="B18" s="41" t="s">
        <v>114</v>
      </c>
      <c r="C18" s="64" t="s">
        <v>33</v>
      </c>
      <c r="D18" s="43" t="s">
        <v>115</v>
      </c>
      <c r="E18" s="44" t="s">
        <v>69</v>
      </c>
      <c r="F18" s="45" t="s">
        <v>116</v>
      </c>
      <c r="G18" s="46">
        <v>1.5</v>
      </c>
      <c r="H18" s="47"/>
      <c r="I18" s="48" t="str">
        <f t="shared" si="0"/>
        <v/>
      </c>
      <c r="J18" s="61" t="s">
        <v>82</v>
      </c>
      <c r="K18" s="50"/>
      <c r="L18" s="41" t="s">
        <v>78</v>
      </c>
    </row>
    <row r="19" spans="1:12" ht="21.75" customHeight="1" x14ac:dyDescent="0.3">
      <c r="A19" s="51" t="s">
        <v>66</v>
      </c>
      <c r="B19" s="52" t="s">
        <v>114</v>
      </c>
      <c r="C19" s="65" t="s">
        <v>36</v>
      </c>
      <c r="D19" s="54" t="s">
        <v>117</v>
      </c>
      <c r="E19" s="55" t="s">
        <v>75</v>
      </c>
      <c r="F19" s="56" t="s">
        <v>76</v>
      </c>
      <c r="G19" s="57">
        <v>1.5</v>
      </c>
      <c r="H19" s="47"/>
      <c r="I19" s="58" t="str">
        <f t="shared" si="0"/>
        <v/>
      </c>
      <c r="J19" s="61" t="s">
        <v>82</v>
      </c>
      <c r="K19" s="59"/>
      <c r="L19" s="52" t="s">
        <v>78</v>
      </c>
    </row>
    <row r="20" spans="1:12" ht="21.75" customHeight="1" x14ac:dyDescent="0.3">
      <c r="A20" s="40" t="s">
        <v>209</v>
      </c>
      <c r="B20" s="41" t="s">
        <v>114</v>
      </c>
      <c r="C20" s="66" t="s">
        <v>27</v>
      </c>
      <c r="D20" s="43" t="s">
        <v>210</v>
      </c>
      <c r="E20" s="63" t="s">
        <v>69</v>
      </c>
      <c r="F20" s="45" t="s">
        <v>211</v>
      </c>
      <c r="G20" s="46">
        <v>1</v>
      </c>
      <c r="H20" s="47"/>
      <c r="I20" s="48" t="str">
        <f>IF(H20="","",H20/G20)</f>
        <v/>
      </c>
      <c r="J20" s="61" t="s">
        <v>212</v>
      </c>
      <c r="K20" s="50" t="s">
        <v>119</v>
      </c>
      <c r="L20" s="41" t="s">
        <v>73</v>
      </c>
    </row>
    <row r="21" spans="1:12" ht="21.75" customHeight="1" x14ac:dyDescent="0.3">
      <c r="A21" s="51" t="s">
        <v>66</v>
      </c>
      <c r="B21" s="52" t="s">
        <v>120</v>
      </c>
      <c r="C21" s="66" t="s">
        <v>118</v>
      </c>
      <c r="D21" s="54" t="s">
        <v>121</v>
      </c>
      <c r="E21" s="63" t="s">
        <v>92</v>
      </c>
      <c r="F21" s="56" t="s">
        <v>122</v>
      </c>
      <c r="G21" s="57">
        <v>2</v>
      </c>
      <c r="H21" s="47"/>
      <c r="I21" s="58" t="str">
        <f t="shared" si="0"/>
        <v/>
      </c>
      <c r="J21" s="61" t="s">
        <v>82</v>
      </c>
      <c r="K21" s="59" t="s">
        <v>123</v>
      </c>
      <c r="L21" s="52" t="s">
        <v>84</v>
      </c>
    </row>
    <row r="22" spans="1:12" x14ac:dyDescent="0.3">
      <c r="A22" s="51" t="s">
        <v>203</v>
      </c>
      <c r="B22" s="52" t="s">
        <v>204</v>
      </c>
      <c r="C22" s="66" t="s">
        <v>118</v>
      </c>
      <c r="D22" s="54" t="s">
        <v>121</v>
      </c>
      <c r="E22" s="63" t="s">
        <v>92</v>
      </c>
      <c r="F22" s="56" t="s">
        <v>122</v>
      </c>
      <c r="G22" s="57">
        <v>3</v>
      </c>
      <c r="H22" s="47"/>
      <c r="I22" s="58" t="str">
        <f t="shared" ref="I22:I24" si="1">IF(H22="","",H22/G22)</f>
        <v/>
      </c>
      <c r="J22" s="61" t="s">
        <v>82</v>
      </c>
      <c r="K22" s="59" t="s">
        <v>123</v>
      </c>
      <c r="L22" s="52" t="s">
        <v>84</v>
      </c>
    </row>
    <row r="23" spans="1:12" x14ac:dyDescent="0.3">
      <c r="A23" s="51" t="s">
        <v>205</v>
      </c>
      <c r="B23" s="52" t="s">
        <v>206</v>
      </c>
      <c r="C23" s="66" t="s">
        <v>118</v>
      </c>
      <c r="D23" s="54" t="s">
        <v>121</v>
      </c>
      <c r="E23" s="63" t="s">
        <v>92</v>
      </c>
      <c r="F23" s="56" t="s">
        <v>122</v>
      </c>
      <c r="G23" s="57">
        <v>4</v>
      </c>
      <c r="H23" s="47"/>
      <c r="I23" s="58" t="str">
        <f t="shared" si="1"/>
        <v/>
      </c>
      <c r="J23" s="61" t="s">
        <v>82</v>
      </c>
      <c r="K23" s="59" t="s">
        <v>123</v>
      </c>
      <c r="L23" s="52" t="s">
        <v>84</v>
      </c>
    </row>
    <row r="24" spans="1:12" x14ac:dyDescent="0.3">
      <c r="A24" s="51" t="s">
        <v>207</v>
      </c>
      <c r="B24" s="52" t="s">
        <v>208</v>
      </c>
      <c r="C24" s="66" t="s">
        <v>118</v>
      </c>
      <c r="D24" s="54" t="s">
        <v>121</v>
      </c>
      <c r="E24" s="63" t="s">
        <v>92</v>
      </c>
      <c r="F24" s="56" t="s">
        <v>122</v>
      </c>
      <c r="G24" s="57">
        <v>5</v>
      </c>
      <c r="H24" s="47"/>
      <c r="I24" s="58" t="str">
        <f t="shared" si="1"/>
        <v/>
      </c>
      <c r="J24" s="61" t="s">
        <v>82</v>
      </c>
      <c r="K24" s="59" t="s">
        <v>123</v>
      </c>
      <c r="L24" s="52" t="s">
        <v>84</v>
      </c>
    </row>
  </sheetData>
  <mergeCells count="2">
    <mergeCell ref="A1:L1"/>
    <mergeCell ref="A2:L2"/>
  </mergeCells>
  <dataValidations count="5">
    <dataValidation type="list" allowBlank="1" sqref="C4:C200" xr:uid="{00000000-0002-0000-0100-000000000000}">
      <formula1>"Clínica Médica,Cirurgia,Pediatria,Ginecologia/Obstetrícia,Medicina Preventiva,Todas"</formula1>
      <formula2>0</formula2>
    </dataValidation>
    <dataValidation type="list" allowBlank="1" sqref="E4:E200" xr:uid="{00000000-0002-0000-0100-000001000000}">
      <formula1>"Teoria,Questões,Revisão,Flashcards"</formula1>
      <formula2>0</formula2>
    </dataValidation>
    <dataValidation type="list" allowBlank="1" sqref="J4:J200" xr:uid="{00000000-0002-0000-0100-000002000000}">
      <formula1>"Não iniciado,Em andamento,Concluído"</formula1>
      <formula2>0</formula2>
    </dataValidation>
    <dataValidation type="list" allowBlank="1" sqref="B4:B200" xr:uid="{00000000-0002-0000-0100-000003000000}">
      <formula1>"Segunda,Terça,Quarta,Quinta,Sexta,Sábado,Domingo"</formula1>
      <formula2>0</formula2>
    </dataValidation>
    <dataValidation type="list" allowBlank="1" sqref="L4:L200" xr:uid="{00000000-0002-0000-0100-000004000000}">
      <formula1>"🔴 Alta,🟡 Média,🟢 Baixa"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showGridLines="0" tabSelected="1" zoomScaleNormal="100" workbookViewId="0">
      <pane ySplit="2" topLeftCell="A3" activePane="bottomLeft" state="frozen"/>
      <selection pane="bottomLeft" sqref="A1:I1"/>
    </sheetView>
  </sheetViews>
  <sheetFormatPr defaultColWidth="8.6640625" defaultRowHeight="14.4" x14ac:dyDescent="0.3"/>
  <cols>
    <col min="1" max="1" width="12" customWidth="1"/>
    <col min="2" max="2" width="22" customWidth="1"/>
    <col min="3" max="3" width="28" customWidth="1"/>
    <col min="4" max="6" width="12" customWidth="1"/>
    <col min="7" max="7" width="16" customWidth="1"/>
    <col min="8" max="8" width="14" customWidth="1"/>
    <col min="9" max="9" width="35" customWidth="1"/>
  </cols>
  <sheetData>
    <row r="1" spans="1:9" ht="45" customHeight="1" x14ac:dyDescent="0.3">
      <c r="A1" s="4" t="s">
        <v>124</v>
      </c>
      <c r="B1" s="4"/>
      <c r="C1" s="4"/>
      <c r="D1" s="4"/>
      <c r="E1" s="4"/>
      <c r="F1" s="4"/>
      <c r="G1" s="4"/>
      <c r="H1" s="4"/>
      <c r="I1" s="4"/>
    </row>
    <row r="2" spans="1:9" ht="25.5" customHeight="1" x14ac:dyDescent="0.3">
      <c r="A2" s="67" t="s">
        <v>125</v>
      </c>
      <c r="B2" s="67" t="s">
        <v>22</v>
      </c>
      <c r="C2" s="67" t="s">
        <v>126</v>
      </c>
      <c r="D2" s="67" t="s">
        <v>127</v>
      </c>
      <c r="E2" s="67" t="s">
        <v>128</v>
      </c>
      <c r="F2" s="67" t="s">
        <v>129</v>
      </c>
      <c r="G2" s="67" t="s">
        <v>130</v>
      </c>
      <c r="H2" s="67" t="s">
        <v>131</v>
      </c>
      <c r="I2" s="67" t="s">
        <v>132</v>
      </c>
    </row>
    <row r="3" spans="1:9" ht="21.75" customHeight="1" x14ac:dyDescent="0.3">
      <c r="A3" s="68">
        <v>45663</v>
      </c>
      <c r="B3" s="42" t="s">
        <v>27</v>
      </c>
      <c r="C3" s="69" t="s">
        <v>133</v>
      </c>
      <c r="D3" s="25">
        <v>30</v>
      </c>
      <c r="E3" s="25">
        <v>22</v>
      </c>
      <c r="F3" s="70">
        <f t="shared" ref="F3:F10" si="0">IF(D3=0,0,E3/D3)</f>
        <v>0.73333333333333328</v>
      </c>
      <c r="G3" s="71" t="s">
        <v>134</v>
      </c>
      <c r="H3" s="63" t="s">
        <v>135</v>
      </c>
      <c r="I3" s="72" t="s">
        <v>136</v>
      </c>
    </row>
    <row r="4" spans="1:9" ht="21.75" customHeight="1" x14ac:dyDescent="0.3">
      <c r="A4" s="73">
        <v>45663</v>
      </c>
      <c r="B4" s="53" t="s">
        <v>39</v>
      </c>
      <c r="C4" s="74" t="s">
        <v>137</v>
      </c>
      <c r="D4" s="36">
        <v>20</v>
      </c>
      <c r="E4" s="36">
        <v>16</v>
      </c>
      <c r="F4" s="75">
        <f t="shared" si="0"/>
        <v>0.8</v>
      </c>
      <c r="G4" s="52" t="s">
        <v>138</v>
      </c>
      <c r="H4" s="76" t="s">
        <v>139</v>
      </c>
      <c r="I4" s="59" t="s">
        <v>140</v>
      </c>
    </row>
    <row r="5" spans="1:9" ht="21.75" customHeight="1" x14ac:dyDescent="0.3">
      <c r="A5" s="68">
        <v>45664</v>
      </c>
      <c r="B5" s="62" t="s">
        <v>30</v>
      </c>
      <c r="C5" s="69" t="s">
        <v>141</v>
      </c>
      <c r="D5" s="25">
        <v>25</v>
      </c>
      <c r="E5" s="25">
        <v>18</v>
      </c>
      <c r="F5" s="70">
        <f t="shared" si="0"/>
        <v>0.72</v>
      </c>
      <c r="G5" s="71" t="s">
        <v>142</v>
      </c>
      <c r="H5" s="55" t="s">
        <v>143</v>
      </c>
      <c r="I5" s="72" t="s">
        <v>144</v>
      </c>
    </row>
    <row r="6" spans="1:9" ht="21.75" customHeight="1" x14ac:dyDescent="0.3">
      <c r="A6" s="73">
        <v>45664</v>
      </c>
      <c r="B6" s="42" t="s">
        <v>27</v>
      </c>
      <c r="C6" s="74" t="s">
        <v>145</v>
      </c>
      <c r="D6" s="36">
        <v>35</v>
      </c>
      <c r="E6" s="36">
        <v>28</v>
      </c>
      <c r="F6" s="75">
        <f t="shared" si="0"/>
        <v>0.8</v>
      </c>
      <c r="G6" s="52" t="s">
        <v>146</v>
      </c>
      <c r="H6" s="76" t="s">
        <v>139</v>
      </c>
      <c r="I6" s="59"/>
    </row>
    <row r="7" spans="1:9" ht="21.75" customHeight="1" x14ac:dyDescent="0.3">
      <c r="A7" s="68">
        <v>45665</v>
      </c>
      <c r="B7" s="64" t="s">
        <v>33</v>
      </c>
      <c r="C7" s="69" t="s">
        <v>147</v>
      </c>
      <c r="D7" s="25">
        <v>20</v>
      </c>
      <c r="E7" s="25">
        <v>15</v>
      </c>
      <c r="F7" s="70">
        <f t="shared" si="0"/>
        <v>0.75</v>
      </c>
      <c r="G7" s="71" t="s">
        <v>134</v>
      </c>
      <c r="H7" s="76" t="s">
        <v>139</v>
      </c>
      <c r="I7" s="72" t="s">
        <v>148</v>
      </c>
    </row>
    <row r="8" spans="1:9" ht="21.75" customHeight="1" x14ac:dyDescent="0.3">
      <c r="A8" s="73">
        <v>45665</v>
      </c>
      <c r="B8" s="65" t="s">
        <v>36</v>
      </c>
      <c r="C8" s="74" t="s">
        <v>149</v>
      </c>
      <c r="D8" s="36">
        <v>15</v>
      </c>
      <c r="E8" s="36">
        <v>12</v>
      </c>
      <c r="F8" s="75">
        <f t="shared" si="0"/>
        <v>0.8</v>
      </c>
      <c r="G8" s="52" t="s">
        <v>150</v>
      </c>
      <c r="H8" s="63" t="s">
        <v>135</v>
      </c>
      <c r="I8" s="59"/>
    </row>
    <row r="9" spans="1:9" ht="21.75" customHeight="1" x14ac:dyDescent="0.3">
      <c r="A9" s="68">
        <v>45666</v>
      </c>
      <c r="B9" s="42" t="s">
        <v>27</v>
      </c>
      <c r="C9" s="69" t="s">
        <v>151</v>
      </c>
      <c r="D9" s="25">
        <v>30</v>
      </c>
      <c r="E9" s="25">
        <v>24</v>
      </c>
      <c r="F9" s="70">
        <f t="shared" si="0"/>
        <v>0.8</v>
      </c>
      <c r="G9" s="71" t="s">
        <v>138</v>
      </c>
      <c r="H9" s="55" t="s">
        <v>143</v>
      </c>
      <c r="I9" s="72" t="s">
        <v>152</v>
      </c>
    </row>
    <row r="10" spans="1:9" ht="21.75" customHeight="1" x14ac:dyDescent="0.3">
      <c r="A10" s="73">
        <v>45667</v>
      </c>
      <c r="B10" s="62" t="s">
        <v>30</v>
      </c>
      <c r="C10" s="74" t="s">
        <v>153</v>
      </c>
      <c r="D10" s="36">
        <v>20</v>
      </c>
      <c r="E10" s="36">
        <v>14</v>
      </c>
      <c r="F10" s="75">
        <f t="shared" si="0"/>
        <v>0.7</v>
      </c>
      <c r="G10" s="52" t="s">
        <v>142</v>
      </c>
      <c r="H10" s="55" t="s">
        <v>143</v>
      </c>
      <c r="I10" s="59" t="s">
        <v>154</v>
      </c>
    </row>
  </sheetData>
  <mergeCells count="1">
    <mergeCell ref="A1:I1"/>
  </mergeCells>
  <dataValidations count="3">
    <dataValidation type="list" sqref="B3:B500" xr:uid="{00000000-0002-0000-0200-000000000000}">
      <formula1>"Clínica Médica,Cirurgia,Pediatria,Ginecologia/Obstetrícia,Medicina Preventiva"</formula1>
      <formula2>0</formula2>
    </dataValidation>
    <dataValidation type="list" sqref="G3:G500" xr:uid="{00000000-0002-0000-0200-000001000000}">
      <formula1>"SUS,ENARE,FMUSP,UNIFESP,HC-Ribeirão,SES-SP,SES-RJ,SES-MG,Outros"</formula1>
      <formula2>0</formula2>
    </dataValidation>
    <dataValidation type="list" sqref="H3:H500" xr:uid="{00000000-0002-0000-0200-000002000000}">
      <formula1>"Fácil,Média,Difícil"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30" customWidth="1"/>
    <col min="3" max="3" width="16" customWidth="1"/>
    <col min="4" max="4" width="14" customWidth="1"/>
    <col min="5" max="5" width="13" customWidth="1"/>
    <col min="6" max="6" width="14" customWidth="1"/>
    <col min="7" max="7" width="13" customWidth="1"/>
    <col min="8" max="8" width="14" customWidth="1"/>
    <col min="9" max="10" width="13" customWidth="1"/>
    <col min="11" max="11" width="12" customWidth="1"/>
  </cols>
  <sheetData>
    <row r="1" spans="1:11" ht="45" customHeight="1" x14ac:dyDescent="0.3">
      <c r="A1" s="4" t="s">
        <v>155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1.75" customHeight="1" x14ac:dyDescent="0.3">
      <c r="A2" s="2" t="s">
        <v>156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5.5" customHeight="1" x14ac:dyDescent="0.3">
      <c r="A3" s="77" t="s">
        <v>22</v>
      </c>
      <c r="B3" s="77" t="s">
        <v>126</v>
      </c>
      <c r="C3" s="77" t="s">
        <v>157</v>
      </c>
      <c r="D3" s="77" t="s">
        <v>158</v>
      </c>
      <c r="E3" s="77" t="s">
        <v>159</v>
      </c>
      <c r="F3" s="77" t="s">
        <v>160</v>
      </c>
      <c r="G3" s="77" t="s">
        <v>161</v>
      </c>
      <c r="H3" s="77" t="s">
        <v>162</v>
      </c>
      <c r="I3" s="77" t="s">
        <v>163</v>
      </c>
      <c r="J3" s="77" t="s">
        <v>131</v>
      </c>
      <c r="K3" s="77" t="s">
        <v>65</v>
      </c>
    </row>
    <row r="4" spans="1:11" ht="21.75" customHeight="1" x14ac:dyDescent="0.3">
      <c r="A4" s="42" t="s">
        <v>27</v>
      </c>
      <c r="B4" s="69" t="s">
        <v>133</v>
      </c>
      <c r="C4" s="78">
        <v>45663</v>
      </c>
      <c r="D4" s="79">
        <f t="shared" ref="D4:D9" si="0">IF(C4="","",C4+1)</f>
        <v>45664</v>
      </c>
      <c r="E4" s="80" t="s">
        <v>164</v>
      </c>
      <c r="F4" s="81">
        <f t="shared" ref="F4:F9" si="1">IF(C4="","",C4+7)</f>
        <v>45670</v>
      </c>
      <c r="G4" s="80" t="s">
        <v>164</v>
      </c>
      <c r="H4" s="82">
        <f t="shared" ref="H4:H9" si="2">IF(C4="","",C4+30)</f>
        <v>45693</v>
      </c>
      <c r="I4" s="80" t="s">
        <v>164</v>
      </c>
      <c r="J4" s="83" t="s">
        <v>139</v>
      </c>
      <c r="K4" s="71" t="s">
        <v>73</v>
      </c>
    </row>
    <row r="5" spans="1:11" ht="21.75" customHeight="1" x14ac:dyDescent="0.3">
      <c r="A5" s="62" t="s">
        <v>30</v>
      </c>
      <c r="B5" s="74" t="s">
        <v>141</v>
      </c>
      <c r="C5" s="78">
        <v>45664</v>
      </c>
      <c r="D5" s="79">
        <f t="shared" si="0"/>
        <v>45665</v>
      </c>
      <c r="E5" s="80" t="s">
        <v>164</v>
      </c>
      <c r="F5" s="81">
        <f t="shared" si="1"/>
        <v>45671</v>
      </c>
      <c r="G5" s="80" t="s">
        <v>164</v>
      </c>
      <c r="H5" s="82">
        <f t="shared" si="2"/>
        <v>45694</v>
      </c>
      <c r="I5" s="80" t="s">
        <v>164</v>
      </c>
      <c r="J5" s="84" t="s">
        <v>165</v>
      </c>
      <c r="K5" s="52" t="s">
        <v>73</v>
      </c>
    </row>
    <row r="6" spans="1:11" ht="21.75" customHeight="1" x14ac:dyDescent="0.3">
      <c r="A6" s="64" t="s">
        <v>33</v>
      </c>
      <c r="B6" s="69" t="s">
        <v>147</v>
      </c>
      <c r="C6" s="78">
        <v>45665</v>
      </c>
      <c r="D6" s="79">
        <f t="shared" si="0"/>
        <v>45666</v>
      </c>
      <c r="E6" s="80" t="s">
        <v>164</v>
      </c>
      <c r="F6" s="81">
        <f t="shared" si="1"/>
        <v>45672</v>
      </c>
      <c r="G6" s="80" t="s">
        <v>164</v>
      </c>
      <c r="H6" s="82">
        <f t="shared" si="2"/>
        <v>45695</v>
      </c>
      <c r="I6" s="80" t="s">
        <v>164</v>
      </c>
      <c r="J6" s="85" t="s">
        <v>165</v>
      </c>
      <c r="K6" s="71" t="s">
        <v>73</v>
      </c>
    </row>
    <row r="7" spans="1:11" ht="21.75" customHeight="1" x14ac:dyDescent="0.3">
      <c r="A7" s="65" t="s">
        <v>36</v>
      </c>
      <c r="B7" s="74" t="s">
        <v>166</v>
      </c>
      <c r="C7" s="78">
        <v>45665</v>
      </c>
      <c r="D7" s="79">
        <f t="shared" si="0"/>
        <v>45666</v>
      </c>
      <c r="E7" s="80" t="s">
        <v>164</v>
      </c>
      <c r="F7" s="81">
        <f t="shared" si="1"/>
        <v>45672</v>
      </c>
      <c r="G7" s="80" t="s">
        <v>164</v>
      </c>
      <c r="H7" s="82">
        <f t="shared" si="2"/>
        <v>45695</v>
      </c>
      <c r="I7" s="80" t="s">
        <v>164</v>
      </c>
      <c r="J7" s="86" t="s">
        <v>135</v>
      </c>
      <c r="K7" s="52" t="s">
        <v>78</v>
      </c>
    </row>
    <row r="8" spans="1:11" ht="21.75" customHeight="1" x14ac:dyDescent="0.3">
      <c r="A8" s="42" t="s">
        <v>27</v>
      </c>
      <c r="B8" s="69" t="s">
        <v>102</v>
      </c>
      <c r="C8" s="78">
        <v>45666</v>
      </c>
      <c r="D8" s="79">
        <f t="shared" si="0"/>
        <v>45667</v>
      </c>
      <c r="E8" s="80" t="s">
        <v>164</v>
      </c>
      <c r="F8" s="81">
        <f t="shared" si="1"/>
        <v>45673</v>
      </c>
      <c r="G8" s="80" t="s">
        <v>164</v>
      </c>
      <c r="H8" s="82">
        <f t="shared" si="2"/>
        <v>45696</v>
      </c>
      <c r="I8" s="80" t="s">
        <v>164</v>
      </c>
      <c r="J8" s="85" t="s">
        <v>165</v>
      </c>
      <c r="K8" s="71" t="s">
        <v>73</v>
      </c>
    </row>
    <row r="9" spans="1:11" ht="21.75" customHeight="1" x14ac:dyDescent="0.3">
      <c r="A9" s="53" t="s">
        <v>39</v>
      </c>
      <c r="B9" s="74" t="s">
        <v>137</v>
      </c>
      <c r="C9" s="78">
        <v>45663</v>
      </c>
      <c r="D9" s="79">
        <f t="shared" si="0"/>
        <v>45664</v>
      </c>
      <c r="E9" s="80" t="s">
        <v>164</v>
      </c>
      <c r="F9" s="81">
        <f t="shared" si="1"/>
        <v>45670</v>
      </c>
      <c r="G9" s="80" t="s">
        <v>164</v>
      </c>
      <c r="H9" s="82">
        <f t="shared" si="2"/>
        <v>45693</v>
      </c>
      <c r="I9" s="80" t="s">
        <v>164</v>
      </c>
      <c r="J9" s="87" t="s">
        <v>139</v>
      </c>
      <c r="K9" s="52" t="s">
        <v>78</v>
      </c>
    </row>
  </sheetData>
  <mergeCells count="2">
    <mergeCell ref="A1:K1"/>
    <mergeCell ref="A2:K2"/>
  </mergeCells>
  <dataValidations count="1">
    <dataValidation type="list" sqref="E4:I200" xr:uid="{00000000-0002-0000-0300-000000000000}">
      <formula1>"Pendente,Feito,Pulado"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25" customWidth="1"/>
    <col min="4" max="4" width="18" customWidth="1"/>
    <col min="5" max="5" width="16" customWidth="1"/>
    <col min="6" max="6" width="30" customWidth="1"/>
    <col min="7" max="7" width="35" customWidth="1"/>
    <col min="8" max="8" width="12" customWidth="1"/>
  </cols>
  <sheetData>
    <row r="1" spans="1:8" ht="45" customHeight="1" x14ac:dyDescent="0.3">
      <c r="A1" s="1" t="s">
        <v>167</v>
      </c>
      <c r="B1" s="1"/>
      <c r="C1" s="1"/>
      <c r="D1" s="1"/>
      <c r="E1" s="1"/>
      <c r="F1" s="1"/>
      <c r="G1" s="1"/>
      <c r="H1" s="1"/>
    </row>
    <row r="2" spans="1:8" ht="25.5" customHeight="1" x14ac:dyDescent="0.3">
      <c r="A2" s="67" t="s">
        <v>125</v>
      </c>
      <c r="B2" s="67" t="s">
        <v>22</v>
      </c>
      <c r="C2" s="67" t="s">
        <v>126</v>
      </c>
      <c r="D2" s="67" t="s">
        <v>168</v>
      </c>
      <c r="E2" s="67" t="s">
        <v>169</v>
      </c>
      <c r="F2" s="67" t="s">
        <v>170</v>
      </c>
      <c r="G2" s="67" t="s">
        <v>171</v>
      </c>
      <c r="H2" s="67" t="s">
        <v>172</v>
      </c>
    </row>
    <row r="3" spans="1:8" ht="27.75" customHeight="1" x14ac:dyDescent="0.3">
      <c r="A3" s="68">
        <v>45663</v>
      </c>
      <c r="B3" s="42" t="s">
        <v>27</v>
      </c>
      <c r="C3" s="69" t="s">
        <v>173</v>
      </c>
      <c r="D3" s="55" t="s">
        <v>174</v>
      </c>
      <c r="E3" s="71" t="s">
        <v>134</v>
      </c>
      <c r="F3" s="88" t="s">
        <v>175</v>
      </c>
      <c r="G3" s="89" t="s">
        <v>176</v>
      </c>
      <c r="H3" s="55" t="s">
        <v>177</v>
      </c>
    </row>
    <row r="4" spans="1:8" ht="27.75" customHeight="1" x14ac:dyDescent="0.3">
      <c r="A4" s="73">
        <v>45663</v>
      </c>
      <c r="B4" s="53" t="s">
        <v>39</v>
      </c>
      <c r="C4" s="74" t="s">
        <v>178</v>
      </c>
      <c r="D4" s="76" t="s">
        <v>179</v>
      </c>
      <c r="E4" s="52" t="s">
        <v>138</v>
      </c>
      <c r="F4" s="88" t="s">
        <v>180</v>
      </c>
      <c r="G4" s="89" t="s">
        <v>181</v>
      </c>
      <c r="H4" s="55" t="s">
        <v>177</v>
      </c>
    </row>
    <row r="5" spans="1:8" ht="27.75" customHeight="1" x14ac:dyDescent="0.3">
      <c r="A5" s="68">
        <v>45664</v>
      </c>
      <c r="B5" s="62" t="s">
        <v>30</v>
      </c>
      <c r="C5" s="69" t="s">
        <v>182</v>
      </c>
      <c r="D5" s="60" t="s">
        <v>183</v>
      </c>
      <c r="E5" s="71" t="s">
        <v>142</v>
      </c>
      <c r="F5" s="88" t="s">
        <v>184</v>
      </c>
      <c r="G5" s="89" t="s">
        <v>185</v>
      </c>
      <c r="H5" s="55" t="s">
        <v>177</v>
      </c>
    </row>
    <row r="6" spans="1:8" ht="27.75" customHeight="1" x14ac:dyDescent="0.3">
      <c r="A6" s="73">
        <v>45666</v>
      </c>
      <c r="B6" s="42" t="s">
        <v>27</v>
      </c>
      <c r="C6" s="74" t="s">
        <v>186</v>
      </c>
      <c r="D6" s="55" t="s">
        <v>174</v>
      </c>
      <c r="E6" s="52" t="s">
        <v>138</v>
      </c>
      <c r="F6" s="88" t="s">
        <v>187</v>
      </c>
      <c r="G6" s="89" t="s">
        <v>188</v>
      </c>
      <c r="H6" s="55" t="s">
        <v>177</v>
      </c>
    </row>
    <row r="7" spans="1:8" ht="27.75" customHeight="1" x14ac:dyDescent="0.3">
      <c r="A7" s="68">
        <v>45667</v>
      </c>
      <c r="B7" s="62" t="s">
        <v>30</v>
      </c>
      <c r="C7" s="69" t="s">
        <v>189</v>
      </c>
      <c r="D7" s="76" t="s">
        <v>179</v>
      </c>
      <c r="E7" s="71" t="s">
        <v>142</v>
      </c>
      <c r="F7" s="88" t="s">
        <v>190</v>
      </c>
      <c r="G7" s="89" t="s">
        <v>191</v>
      </c>
      <c r="H7" s="55" t="s">
        <v>177</v>
      </c>
    </row>
  </sheetData>
  <mergeCells count="1">
    <mergeCell ref="A1:H1"/>
  </mergeCells>
  <dataValidations count="3">
    <dataValidation type="list" sqref="B3:B500" xr:uid="{00000000-0002-0000-0400-000000000000}">
      <formula1>"Clínica Médica,Cirurgia,Pediatria,Ginecologia/Obstetrícia,Medicina Preventiva"</formula1>
      <formula2>0</formula2>
    </dataValidation>
    <dataValidation type="list" sqref="D3:D500" xr:uid="{00000000-0002-0000-0400-000001000000}">
      <formula1>"Conceito,Memorização,Interpretação,Atenção"</formula1>
      <formula2>0</formula2>
    </dataValidation>
    <dataValidation type="list" sqref="H3:H500" xr:uid="{00000000-0002-0000-0400-000002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showGridLines="0" zoomScaleNormal="100" workbookViewId="0"/>
  </sheetViews>
  <sheetFormatPr defaultColWidth="8.6640625" defaultRowHeight="14.4" x14ac:dyDescent="0.3"/>
  <cols>
    <col min="1" max="1" width="24" customWidth="1"/>
    <col min="2" max="4" width="18" customWidth="1"/>
    <col min="5" max="5" width="12" customWidth="1"/>
    <col min="6" max="6" width="18" customWidth="1"/>
    <col min="7" max="7" width="14" customWidth="1"/>
    <col min="8" max="8" width="10" customWidth="1"/>
  </cols>
  <sheetData>
    <row r="1" spans="1:8" ht="45" customHeight="1" x14ac:dyDescent="0.3">
      <c r="A1" s="4" t="s">
        <v>192</v>
      </c>
      <c r="B1" s="4"/>
      <c r="C1" s="4"/>
      <c r="D1" s="4"/>
      <c r="E1" s="4"/>
      <c r="F1" s="4"/>
      <c r="G1" s="4"/>
      <c r="H1" s="4"/>
    </row>
    <row r="2" spans="1:8" ht="19.5" customHeight="1" x14ac:dyDescent="0.3">
      <c r="A2" s="3" t="s">
        <v>193</v>
      </c>
      <c r="B2" s="3"/>
      <c r="C2" s="3"/>
      <c r="D2" s="3"/>
      <c r="E2" s="3"/>
      <c r="F2" s="3"/>
      <c r="G2" s="3"/>
      <c r="H2" s="3"/>
    </row>
    <row r="3" spans="1:8" ht="25.5" customHeight="1" x14ac:dyDescent="0.3">
      <c r="A3" s="39" t="s">
        <v>22</v>
      </c>
      <c r="B3" s="39" t="s">
        <v>194</v>
      </c>
      <c r="C3" s="39" t="s">
        <v>195</v>
      </c>
      <c r="D3" s="39" t="s">
        <v>196</v>
      </c>
      <c r="E3" s="39" t="s">
        <v>197</v>
      </c>
      <c r="F3" s="39" t="s">
        <v>47</v>
      </c>
      <c r="G3" s="39" t="s">
        <v>198</v>
      </c>
      <c r="H3" s="39" t="s">
        <v>199</v>
      </c>
    </row>
    <row r="4" spans="1:8" ht="25.5" customHeight="1" x14ac:dyDescent="0.3">
      <c r="A4" s="24" t="s">
        <v>27</v>
      </c>
      <c r="B4" s="25">
        <v>65</v>
      </c>
      <c r="C4" s="25">
        <v>50</v>
      </c>
      <c r="D4" s="90">
        <f t="shared" ref="D4:D9" si="0">IF(B4=0,0,C4/B4)</f>
        <v>0.76923076923076927</v>
      </c>
      <c r="E4" s="91">
        <v>0.7</v>
      </c>
      <c r="F4" s="92" t="str">
        <f>IF(D4&gt;=E4,"✅ Meta Atingida",IF(D4&gt;=E4-0.05,"⚠️ Quase lá","❌ Abaixo da meta"))</f>
        <v>✅ Meta Atingida</v>
      </c>
      <c r="G4" s="93" t="s">
        <v>200</v>
      </c>
      <c r="H4" s="94" t="s">
        <v>201</v>
      </c>
    </row>
    <row r="5" spans="1:8" ht="25.5" customHeight="1" x14ac:dyDescent="0.3">
      <c r="A5" s="27" t="s">
        <v>30</v>
      </c>
      <c r="B5" s="36">
        <v>45</v>
      </c>
      <c r="C5" s="36">
        <v>32</v>
      </c>
      <c r="D5" s="90">
        <f t="shared" si="0"/>
        <v>0.71111111111111114</v>
      </c>
      <c r="E5" s="95">
        <v>0.65</v>
      </c>
      <c r="F5" s="96" t="str">
        <f>IF(D5&gt;=E5,"✅ Meta Atingida",IF(D5&gt;=E5-0.05,"⚠️ Quase lá","❌ Abaixo da meta"))</f>
        <v>✅ Meta Atingida</v>
      </c>
      <c r="G5" s="97" t="s">
        <v>200</v>
      </c>
      <c r="H5" s="98" t="s">
        <v>201</v>
      </c>
    </row>
    <row r="6" spans="1:8" ht="25.5" customHeight="1" x14ac:dyDescent="0.3">
      <c r="A6" s="28" t="s">
        <v>33</v>
      </c>
      <c r="B6" s="25">
        <v>20</v>
      </c>
      <c r="C6" s="25">
        <v>15</v>
      </c>
      <c r="D6" s="90">
        <f t="shared" si="0"/>
        <v>0.75</v>
      </c>
      <c r="E6" s="91">
        <v>0.7</v>
      </c>
      <c r="F6" s="92" t="str">
        <f>IF(D6&gt;=E6,"✅ Meta Atingida",IF(D6&gt;=E6-0.05,"⚠️ Quase lá","❌ Abaixo da meta"))</f>
        <v>✅ Meta Atingida</v>
      </c>
      <c r="G6" s="93" t="s">
        <v>200</v>
      </c>
      <c r="H6" s="99" t="s">
        <v>201</v>
      </c>
    </row>
    <row r="7" spans="1:8" ht="25.5" customHeight="1" x14ac:dyDescent="0.3">
      <c r="A7" s="29" t="s">
        <v>36</v>
      </c>
      <c r="B7" s="36">
        <v>15</v>
      </c>
      <c r="C7" s="36">
        <v>12</v>
      </c>
      <c r="D7" s="90">
        <f t="shared" si="0"/>
        <v>0.8</v>
      </c>
      <c r="E7" s="95">
        <v>0.7</v>
      </c>
      <c r="F7" s="96" t="str">
        <f>IF(D7&gt;=E7,"✅ Meta Atingida",IF(D7&gt;=E7-0.05,"⚠️ Quase lá","❌ Abaixo da meta"))</f>
        <v>✅ Meta Atingida</v>
      </c>
      <c r="G7" s="97" t="s">
        <v>200</v>
      </c>
      <c r="H7" s="100" t="s">
        <v>201</v>
      </c>
    </row>
    <row r="8" spans="1:8" ht="25.5" customHeight="1" x14ac:dyDescent="0.3">
      <c r="A8" s="30" t="s">
        <v>39</v>
      </c>
      <c r="B8" s="25">
        <v>20</v>
      </c>
      <c r="C8" s="25">
        <v>16</v>
      </c>
      <c r="D8" s="90">
        <f t="shared" si="0"/>
        <v>0.8</v>
      </c>
      <c r="E8" s="91">
        <v>0.75</v>
      </c>
      <c r="F8" s="92" t="str">
        <f>IF(D8&gt;=E8,"✅ Meta Atingida",IF(D8&gt;=E8-0.05,"⚠️ Quase lá","❌ Abaixo da meta"))</f>
        <v>✅ Meta Atingida</v>
      </c>
      <c r="G8" s="93" t="s">
        <v>200</v>
      </c>
      <c r="H8" s="101" t="s">
        <v>201</v>
      </c>
    </row>
    <row r="9" spans="1:8" ht="27.75" customHeight="1" x14ac:dyDescent="0.3">
      <c r="A9" s="102" t="s">
        <v>202</v>
      </c>
      <c r="B9" s="103">
        <f>SUM(B4:B8)</f>
        <v>165</v>
      </c>
      <c r="C9" s="103">
        <f>SUM(C4:C8)</f>
        <v>125</v>
      </c>
      <c r="D9" s="104">
        <f t="shared" si="0"/>
        <v>0.75757575757575757</v>
      </c>
      <c r="E9" s="105"/>
      <c r="F9" s="105"/>
      <c r="G9" s="105"/>
      <c r="H9" s="105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📊 Visão Geral</vt:lpstr>
      <vt:lpstr>📅 Planejamento Semanal</vt:lpstr>
      <vt:lpstr>❓ Controle de Questões</vt:lpstr>
      <vt:lpstr>🔄 Revisão Espaçada</vt:lpstr>
      <vt:lpstr>❌ Caderno de Erros</vt:lpstr>
      <vt:lpstr>📈 Desempenho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1</cp:revision>
  <dcterms:created xsi:type="dcterms:W3CDTF">2026-04-11T13:35:47Z</dcterms:created>
  <dcterms:modified xsi:type="dcterms:W3CDTF">2026-04-11T19:47:23Z</dcterms:modified>
  <dc:language>en-US</dc:language>
</cp:coreProperties>
</file>